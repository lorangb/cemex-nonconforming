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 sheetId="1" r:id="rId5"/>
    <sheet state="visible" name="Landis raw data" sheetId="2" r:id="rId6"/>
    <sheet state="visible" name="Landis charts" sheetId="3" r:id="rId7"/>
    <sheet state="visible" name="Historical data double check"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tc={4527f128-996e-41ee-b13d-759a72387b4c}</author>
  </authors>
  <commentList>
    <comment authorId="0" xr:uid="{4527f128-996e-41ee-b13d-759a72387b4c}" ref="B2">
      <text>
        <t xml:space="preserve">[Threaded comment]
 Your version of Excel allows you to read this threaded comment; however, any edits to it will get removed if the file is opened in a newer version of Excel. Learn more: https://go.microsoft.com/fwlink/?linkid=870924
Comment:
	1994 mode was different - we have documents stating that only about 56,000 tons of material was trucked in in 1994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From CDPHE report, partial 2013 &amp; 2014
</t>
      </text>
    </comment>
    <comment authorId="0" ref="A3">
      <text>
        <t xml:space="preserve">From CDPHE</t>
      </text>
    </comment>
  </commentList>
</comments>
</file>

<file path=xl/sharedStrings.xml><?xml version="1.0" encoding="utf-8"?>
<sst xmlns="http://schemas.openxmlformats.org/spreadsheetml/2006/main" count="273" uniqueCount="71">
  <si>
    <t>Topic</t>
  </si>
  <si>
    <t>Assumptions made</t>
  </si>
  <si>
    <t>Assumptions independently verifiable</t>
  </si>
  <si>
    <t>Comment</t>
  </si>
  <si>
    <t>Estimate of truck traffic &lt;1994 based on clinker correlation from 2019-22</t>
  </si>
  <si>
    <t>Mode of operation same</t>
  </si>
  <si>
    <t>No</t>
  </si>
  <si>
    <t>Intercept on model is 3400 trucks, i.e. at zero production still 3400 trucks on the road.
Force through zero is appropriate -&gt; this brings slope down by 12% from Landis value.
If they had been taking a thorough, probabilistic, approach, they would have done this, because:
Relative std. err. on the slope when forced through zero is 2%. But with intercept, have 15% relSE on slope AND over 100% on the intercept</t>
  </si>
  <si>
    <t>Inbound</t>
  </si>
  <si>
    <t>Outbound</t>
  </si>
  <si>
    <t>Total</t>
  </si>
  <si>
    <t>Model limits lines</t>
  </si>
  <si>
    <t>Clinker (tons)</t>
  </si>
  <si>
    <t>Truck total</t>
  </si>
  <si>
    <t>Jan</t>
  </si>
  <si>
    <t>Feb</t>
  </si>
  <si>
    <t>Mar</t>
  </si>
  <si>
    <t>Apr</t>
  </si>
  <si>
    <t>May</t>
  </si>
  <si>
    <t>as Landis a+bx</t>
  </si>
  <si>
    <t>a=0</t>
  </si>
  <si>
    <t>a=0, monthly</t>
  </si>
  <si>
    <t>95% low</t>
  </si>
  <si>
    <t>95% high</t>
  </si>
  <si>
    <t>Jun</t>
  </si>
  <si>
    <t>Jul</t>
  </si>
  <si>
    <t>Aug</t>
  </si>
  <si>
    <t>Sep</t>
  </si>
  <si>
    <t>Oct</t>
  </si>
  <si>
    <t>Nov</t>
  </si>
  <si>
    <t>Dec</t>
  </si>
  <si>
    <t>Linear fit coefs a+bx</t>
  </si>
  <si>
    <t>Linear fit coefs thru zero</t>
  </si>
  <si>
    <t>slope</t>
  </si>
  <si>
    <t>intercept</t>
  </si>
  <si>
    <t>calcs</t>
  </si>
  <si>
    <t>model value</t>
  </si>
  <si>
    <t>ratio slopes</t>
  </si>
  <si>
    <t>std. err.</t>
  </si>
  <si>
    <t>rel SE thru zero</t>
  </si>
  <si>
    <t>r2, SE dep.</t>
  </si>
  <si>
    <t>rel SE with intercept</t>
  </si>
  <si>
    <t>F-obs, degrF</t>
  </si>
  <si>
    <t>sumSq, resSumSq</t>
  </si>
  <si>
    <t>Monthly trucks Mar2019 -&gt;</t>
  </si>
  <si>
    <t>Manual Gaussian calculation based on model coefs</t>
  </si>
  <si>
    <t>For graphing</t>
  </si>
  <si>
    <t>monthly mean</t>
  </si>
  <si>
    <t>mean clinker pre 94</t>
  </si>
  <si>
    <t># std devs</t>
  </si>
  <si>
    <t># trucks</t>
  </si>
  <si>
    <t>Gaussian dist.</t>
  </si>
  <si>
    <t>Gaussian &gt;2020</t>
  </si>
  <si>
    <t>Model &lt;1994</t>
  </si>
  <si>
    <t>&gt;2020</t>
  </si>
  <si>
    <t>monthly sigma</t>
  </si>
  <si>
    <t>std dev</t>
  </si>
  <si>
    <t>se on mean</t>
  </si>
  <si>
    <t>Monthly trucks Jan2020 -&gt;</t>
  </si>
  <si>
    <t>rel se on mean</t>
  </si>
  <si>
    <t>mean modeled trucks</t>
  </si>
  <si>
    <t>se on modeled mean</t>
  </si>
  <si>
    <t>se on mean rel</t>
  </si>
  <si>
    <t>quad sum se</t>
  </si>
  <si>
    <t>limits lines</t>
  </si>
  <si>
    <t>Monthly truck data from Landis report</t>
  </si>
  <si>
    <t>Dashed black lines show the range predicted
at 95% confidence level to the pre-1994 data.
&gt;2020 values are trending above this, but critical
recent data is missing to confirm/deny.</t>
  </si>
  <si>
    <t>Take pre-1994 modeled annual data and calculate probability distribution of monthly truck count.
Distribution width accounts for std. dev. in the reported clinker production, and uncertainty from the model.
Recent monthly data (in red) is a much wider distribution, as MONTHLY and not annual. Mean is, however, 
to left of the pre 1994 model.</t>
  </si>
  <si>
    <t>Verification that collated raw data agreess with Landis report</t>
  </si>
  <si>
    <t>clinker</t>
  </si>
  <si>
    <t>raw</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</si>
</sst>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quot;-&quot;yyyy"/>
    <numFmt numFmtId="165" formatCode="0.0000"/>
    <numFmt numFmtId="166" formatCode="0.00000"/>
    <numFmt numFmtId="167" formatCode="0.0000000"/>
    <numFmt numFmtId="168" formatCode="0.000"/>
  </numFmts>
  <fonts count="6">
    <font>
      <sz val="10.0"/>
      <color rgb="FF000000"/>
      <name val="Arial"/>
      <scheme val="minor"/>
    </font>
    <font>
      <b/>
      <sz val="12.0"/>
      <color theme="1"/>
      <name val="Arial"/>
      <scheme val="minor"/>
    </font>
    <font>
      <b/>
      <color theme="1"/>
      <name val="Arial"/>
      <scheme val="minor"/>
    </font>
    <font>
      <color theme="1"/>
      <name val="Arial"/>
      <scheme val="minor"/>
    </font>
    <font>
      <color theme="1"/>
      <name val="Arial"/>
    </font>
    <font>
      <color rgb="FF38761D"/>
      <name val="Arial"/>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2" numFmtId="0" xfId="0" applyFont="1"/>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2" numFmtId="0" xfId="0" applyAlignment="1" applyFont="1">
      <alignment readingOrder="0"/>
    </xf>
    <xf borderId="0" fillId="0" fontId="2" numFmtId="1" xfId="0" applyAlignment="1" applyFont="1" applyNumberFormat="1">
      <alignment readingOrder="0"/>
    </xf>
    <xf borderId="0" fillId="0" fontId="3" numFmtId="164" xfId="0" applyAlignment="1" applyFont="1" applyNumberFormat="1">
      <alignment readingOrder="0"/>
    </xf>
    <xf borderId="0" fillId="0" fontId="3" numFmtId="0" xfId="0" applyFont="1"/>
    <xf borderId="0" fillId="0" fontId="3" numFmtId="1" xfId="0" applyFont="1" applyNumberFormat="1"/>
    <xf borderId="0" fillId="0" fontId="3" numFmtId="1" xfId="0" applyAlignment="1" applyFont="1" applyNumberFormat="1">
      <alignment readingOrder="0"/>
    </xf>
    <xf borderId="0" fillId="0" fontId="3" numFmtId="165" xfId="0" applyFont="1" applyNumberFormat="1"/>
    <xf borderId="0" fillId="0" fontId="3" numFmtId="2" xfId="0" applyFont="1" applyNumberFormat="1"/>
    <xf borderId="0" fillId="0" fontId="3" numFmtId="166" xfId="0" applyFont="1" applyNumberFormat="1"/>
    <xf borderId="0" fillId="0" fontId="3" numFmtId="167" xfId="0" applyFont="1" applyNumberFormat="1"/>
    <xf borderId="0" fillId="0" fontId="3" numFmtId="168" xfId="0" applyFont="1" applyNumberFormat="1"/>
    <xf borderId="0" fillId="2" fontId="4" numFmtId="3" xfId="0" applyAlignment="1" applyFill="1" applyFont="1" applyNumberFormat="1">
      <alignment horizontal="center" vertical="bottom"/>
    </xf>
    <xf borderId="0" fillId="2" fontId="4" numFmtId="3" xfId="0" applyAlignment="1" applyFont="1" applyNumberFormat="1">
      <alignment vertical="bottom"/>
    </xf>
    <xf borderId="0" fillId="0" fontId="5" numFmtId="3" xfId="0" applyAlignment="1" applyFont="1" applyNumberForma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INBOUND</c:v>
          </c:tx>
          <c:spPr>
            <a:ln cmpd="sng" w="19050">
              <a:solidFill>
                <a:srgbClr val="4285F4"/>
              </a:solidFill>
            </a:ln>
          </c:spPr>
          <c:marker>
            <c:symbol val="none"/>
          </c:marker>
          <c:cat>
            <c:strRef>
              <c:f>'Landis raw data'!$C$2:$C$209</c:f>
            </c:strRef>
          </c:cat>
          <c:val>
            <c:numRef>
              <c:f>'Landis raw data'!$D$2:$D$209</c:f>
              <c:numCache/>
            </c:numRef>
          </c:val>
          <c:smooth val="0"/>
        </c:ser>
        <c:ser>
          <c:idx val="1"/>
          <c:order val="1"/>
          <c:tx>
            <c:v>OUTBOUND</c:v>
          </c:tx>
          <c:spPr>
            <a:ln cmpd="sng">
              <a:solidFill>
                <a:srgbClr val="FF9900">
                  <a:alpha val="70196"/>
                </a:srgbClr>
              </a:solidFill>
            </a:ln>
          </c:spPr>
          <c:marker>
            <c:symbol val="none"/>
          </c:marker>
          <c:cat>
            <c:strRef>
              <c:f>'Landis raw data'!$C$2:$C$209</c:f>
            </c:strRef>
          </c:cat>
          <c:val>
            <c:numRef>
              <c:f>'Landis raw data'!$E$2:$E$209</c:f>
              <c:numCache/>
            </c:numRef>
          </c:val>
          <c:smooth val="0"/>
        </c:ser>
        <c:ser>
          <c:idx val="2"/>
          <c:order val="2"/>
          <c:tx>
            <c:v>TOTAL</c:v>
          </c:tx>
          <c:spPr>
            <a:ln cmpd="sng" w="38100">
              <a:solidFill>
                <a:srgbClr val="FF0000">
                  <a:alpha val="100000"/>
                </a:srgbClr>
              </a:solidFill>
            </a:ln>
          </c:spPr>
          <c:marker>
            <c:symbol val="none"/>
          </c:marker>
          <c:cat>
            <c:strRef>
              <c:f>'Landis raw data'!$C$2:$C$209</c:f>
            </c:strRef>
          </c:cat>
          <c:val>
            <c:numRef>
              <c:f>'Landis raw data'!$F$2:$F$209</c:f>
              <c:numCache/>
            </c:numRef>
          </c:val>
          <c:smooth val="0"/>
        </c:ser>
        <c:ser>
          <c:idx val="3"/>
          <c:order val="3"/>
          <c:tx>
            <c:v>Pre 1994 95% conf. limits</c:v>
          </c:tx>
          <c:spPr>
            <a:ln cmpd="sng">
              <a:solidFill>
                <a:schemeClr val="dk1"/>
              </a:solidFill>
              <a:prstDash val="dash"/>
            </a:ln>
          </c:spPr>
          <c:marker>
            <c:symbol val="none"/>
          </c:marker>
          <c:cat>
            <c:strRef>
              <c:f>'Landis raw data'!$C$2:$C$209</c:f>
            </c:strRef>
          </c:cat>
          <c:val>
            <c:numRef>
              <c:f>'Landis raw data'!$G$2:$G$209</c:f>
              <c:numCache/>
            </c:numRef>
          </c:val>
          <c:smooth val="0"/>
        </c:ser>
        <c:ser>
          <c:idx val="4"/>
          <c:order val="4"/>
          <c:spPr>
            <a:ln cmpd="sng">
              <a:solidFill>
                <a:schemeClr val="dk1"/>
              </a:solidFill>
              <a:prstDash val="dash"/>
            </a:ln>
          </c:spPr>
          <c:marker>
            <c:symbol val="none"/>
          </c:marker>
          <c:dPt>
            <c:idx val="166"/>
            <c:marker>
              <c:symbol val="none"/>
            </c:marker>
          </c:dPt>
          <c:cat>
            <c:strRef>
              <c:f>'Landis raw data'!$C$2:$C$209</c:f>
            </c:strRef>
          </c:cat>
          <c:val>
            <c:numRef>
              <c:f>'Landis raw data'!$H$2:$H$209</c:f>
              <c:numCache/>
            </c:numRef>
          </c:val>
          <c:smooth val="0"/>
        </c:ser>
        <c:axId val="1832757872"/>
        <c:axId val="982315373"/>
      </c:lineChart>
      <c:catAx>
        <c:axId val="18327578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2315373"/>
      </c:catAx>
      <c:valAx>
        <c:axId val="982315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truck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275787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'Landis raw data'!$J$2:$J$6</c:f>
            </c:numRef>
          </c:xVal>
          <c:yVal>
            <c:numRef>
              <c:f>'Landis raw data'!$K$2:$K$6</c:f>
              <c:numCache/>
            </c:numRef>
          </c:yVal>
        </c:ser>
        <c:dLbls>
          <c:showLegendKey val="0"/>
          <c:showVal val="0"/>
          <c:showCatName val="0"/>
          <c:showSerName val="0"/>
          <c:showPercent val="0"/>
          <c:showBubbleSize val="0"/>
        </c:dLbls>
        <c:axId val="950212490"/>
        <c:axId val="1133525220"/>
      </c:scatterChart>
      <c:valAx>
        <c:axId val="9502124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Clinker production (tons)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33525220"/>
      </c:valAx>
      <c:valAx>
        <c:axId val="1133525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 trucks (in+out)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021249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Pre 1994 model</c:v>
          </c:tx>
          <c:spPr>
            <a:ln cmpd="sng">
              <a:solidFill>
                <a:srgbClr val="4285F4"/>
              </a:solidFill>
            </a:ln>
          </c:spPr>
          <c:marker>
            <c:symbol val="none"/>
          </c:marker>
          <c:cat>
            <c:strRef>
              <c:f>'Landis raw data'!$P$27:$P$119</c:f>
            </c:strRef>
          </c:cat>
          <c:val>
            <c:numRef>
              <c:f>'Landis raw data'!$T$27:$T$119</c:f>
              <c:numCache/>
            </c:numRef>
          </c:val>
          <c:smooth val="1"/>
        </c:ser>
        <c:ser>
          <c:idx val="1"/>
          <c:order val="1"/>
          <c:tx>
            <c:v>Distribution based on 2020 onwards</c:v>
          </c:tx>
          <c:spPr>
            <a:ln cmpd="sng">
              <a:solidFill>
                <a:srgbClr val="EA4335"/>
              </a:solidFill>
            </a:ln>
          </c:spPr>
          <c:marker>
            <c:symbol val="none"/>
          </c:marker>
          <c:cat>
            <c:strRef>
              <c:f>'Landis raw data'!$P$27:$P$119</c:f>
            </c:strRef>
          </c:cat>
          <c:val>
            <c:numRef>
              <c:f>'Landis raw data'!$U$27:$U$119</c:f>
              <c:numCache/>
            </c:numRef>
          </c:val>
          <c:smooth val="1"/>
        </c:ser>
        <c:axId val="122012751"/>
        <c:axId val="915419004"/>
      </c:lineChart>
      <c:catAx>
        <c:axId val="122012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Monthly truck count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5419004"/>
      </c:catAx>
      <c:valAx>
        <c:axId val="915419004"/>
        <c:scaling>
          <c:orientation val="minMax"/>
          <c:max val="1.0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Normalized probability distribution</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2201275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v>Data used in model</c:v>
          </c:tx>
          <c:spPr>
            <a:ln>
              <a:noFill/>
            </a:ln>
          </c:spPr>
          <c:marker>
            <c:symbol val="circle"/>
            <c:size val="7"/>
            <c:spPr>
              <a:solidFill>
                <a:schemeClr val="accent1"/>
              </a:solidFill>
              <a:ln cmpd="sng">
                <a:solidFill>
                  <a:schemeClr val="accent1"/>
                </a:solidFill>
              </a:ln>
            </c:spPr>
          </c:marker>
          <c:xVal>
            <c:numRef>
              <c:f>'Landis charts'!$A$55:$A$68</c:f>
            </c:numRef>
          </c:xVal>
          <c:yVal>
            <c:numRef>
              <c:f>'Landis charts'!$B$55:$B$68</c:f>
              <c:numCache/>
            </c:numRef>
          </c:yVal>
        </c:ser>
        <c:ser>
          <c:idx val="1"/>
          <c:order val="1"/>
          <c:tx>
            <c:v>Calculated points</c:v>
          </c:tx>
          <c:spPr>
            <a:ln>
              <a:noFill/>
            </a:ln>
          </c:spPr>
          <c:marker>
            <c:symbol val="circle"/>
            <c:size val="7"/>
            <c:spPr>
              <a:solidFill>
                <a:schemeClr val="accent2"/>
              </a:solidFill>
              <a:ln cmpd="sng">
                <a:solidFill>
                  <a:schemeClr val="accent2"/>
                </a:solidFill>
              </a:ln>
            </c:spPr>
          </c:marker>
          <c:xVal>
            <c:numRef>
              <c:f>'Landis charts'!$A$55:$A$68</c:f>
            </c:numRef>
          </c:xVal>
          <c:yVal>
            <c:numRef>
              <c:f>'Landis charts'!$C$55:$C$68</c:f>
              <c:numCache/>
            </c:numRef>
          </c:yVal>
        </c:ser>
        <c:dLbls>
          <c:showLegendKey val="0"/>
          <c:showVal val="0"/>
          <c:showCatName val="0"/>
          <c:showSerName val="0"/>
          <c:showPercent val="0"/>
          <c:showBubbleSize val="0"/>
        </c:dLbls>
        <c:axId val="1466717487"/>
        <c:axId val="991635019"/>
      </c:scatterChart>
      <c:valAx>
        <c:axId val="14667174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Clinker production (tons)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1635019"/>
      </c:valAx>
      <c:valAx>
        <c:axId val="991635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Trucks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671748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'Historical data double check'!$A$3:$A$27</c:f>
            </c:numRef>
          </c:xVal>
          <c:yVal>
            <c:numRef>
              <c:f>'Historical data double check'!$B$3:$B$27</c:f>
              <c:numCache/>
            </c:numRef>
          </c:yVal>
        </c:ser>
        <c:dLbls>
          <c:showLegendKey val="0"/>
          <c:showVal val="0"/>
          <c:showCatName val="0"/>
          <c:showSerName val="0"/>
          <c:showPercent val="0"/>
          <c:showBubbleSize val="0"/>
        </c:dLbls>
        <c:axId val="123198390"/>
        <c:axId val="776531093"/>
      </c:scatterChart>
      <c:valAx>
        <c:axId val="1231983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6531093"/>
      </c:valAx>
      <c:valAx>
        <c:axId val="776531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19839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xdr:row>
      <xdr:rowOff>85725</xdr:rowOff>
    </xdr:from>
    <xdr:ext cx="8153400" cy="4981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xdr:colOff>
      <xdr:row>29</xdr:row>
      <xdr:rowOff>57150</xdr:rowOff>
    </xdr:from>
    <xdr:ext cx="3648075" cy="2257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152400</xdr:colOff>
      <xdr:row>29</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47625</xdr:colOff>
      <xdr:row>41</xdr:row>
      <xdr:rowOff>95250</xdr:rowOff>
    </xdr:from>
    <xdr:ext cx="3600450" cy="22574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Bart Lorang" id="{88b955a6-6ce4-4582-896d-1e1780d0478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4-12-17T23:32:30.00" personId="{88b955a6-6ce4-4582-896d-1e1780d04785}" id="{4527f128-996e-41ee-b13d-759a72387b4c}" done="0">
    <x18tc:text xml:space="preserve">1994 mode was different - we have documents stating that only about 56,000 tons of material was trucked in in 1994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26.38"/>
    <col customWidth="1" min="3" max="3" width="14.0"/>
    <col customWidth="1" min="4" max="4" width="66.0"/>
  </cols>
  <sheetData>
    <row r="1">
      <c r="A1" s="1" t="s">
        <v>0</v>
      </c>
      <c r="B1" s="1" t="s">
        <v>1</v>
      </c>
      <c r="C1" s="2" t="s">
        <v>2</v>
      </c>
      <c r="D1" s="3" t="s">
        <v>3</v>
      </c>
      <c r="E1" s="4"/>
      <c r="F1" s="4"/>
      <c r="G1" s="4"/>
      <c r="H1" s="4"/>
      <c r="I1" s="4"/>
      <c r="J1" s="4"/>
      <c r="K1" s="4"/>
      <c r="L1" s="4"/>
      <c r="M1" s="4"/>
      <c r="N1" s="4"/>
      <c r="O1" s="4"/>
      <c r="P1" s="4"/>
      <c r="Q1" s="4"/>
      <c r="R1" s="4"/>
      <c r="S1" s="4"/>
      <c r="T1" s="4"/>
      <c r="U1" s="4"/>
      <c r="V1" s="4"/>
      <c r="W1" s="4"/>
      <c r="X1" s="4"/>
      <c r="Y1" s="4"/>
      <c r="Z1" s="4"/>
    </row>
    <row r="2">
      <c r="A2" s="5" t="s">
        <v>4</v>
      </c>
      <c r="B2" s="6" t="s">
        <v>5</v>
      </c>
      <c r="C2" s="6" t="s">
        <v>6</v>
      </c>
      <c r="D2" s="5" t="s">
        <v>7</v>
      </c>
    </row>
    <row r="3">
      <c r="D3" s="7"/>
    </row>
    <row r="4">
      <c r="D4" s="7"/>
    </row>
    <row r="5">
      <c r="D5" s="7"/>
    </row>
    <row r="6">
      <c r="D6" s="7"/>
    </row>
    <row r="7">
      <c r="D7" s="7"/>
    </row>
    <row r="8">
      <c r="D8" s="7"/>
    </row>
    <row r="9">
      <c r="D9" s="7"/>
    </row>
    <row r="10">
      <c r="D10" s="7"/>
    </row>
    <row r="11">
      <c r="D11" s="7"/>
    </row>
    <row r="12">
      <c r="D12" s="7"/>
    </row>
    <row r="13">
      <c r="D13" s="7"/>
    </row>
    <row r="14">
      <c r="D14" s="7"/>
    </row>
    <row r="15">
      <c r="D15" s="7"/>
    </row>
    <row r="16">
      <c r="D16" s="7"/>
    </row>
    <row r="17">
      <c r="D17" s="7"/>
    </row>
    <row r="18">
      <c r="D18" s="7"/>
    </row>
    <row r="19">
      <c r="D19" s="7"/>
    </row>
    <row r="20">
      <c r="D20" s="7"/>
    </row>
    <row r="21">
      <c r="D21" s="7"/>
    </row>
    <row r="22">
      <c r="D22" s="7"/>
    </row>
    <row r="23">
      <c r="D23" s="7"/>
    </row>
    <row r="24">
      <c r="D24" s="7"/>
    </row>
    <row r="25">
      <c r="D25" s="7"/>
    </row>
    <row r="26">
      <c r="D26" s="7"/>
    </row>
    <row r="27">
      <c r="D27" s="7"/>
    </row>
    <row r="28">
      <c r="D28" s="7"/>
    </row>
    <row r="29">
      <c r="D29" s="7"/>
    </row>
    <row r="30">
      <c r="D30" s="7"/>
    </row>
    <row r="31">
      <c r="D31" s="7"/>
    </row>
    <row r="32">
      <c r="D32" s="7"/>
    </row>
    <row r="33">
      <c r="D33" s="7"/>
    </row>
    <row r="34">
      <c r="D34" s="7"/>
    </row>
    <row r="35">
      <c r="D35" s="7"/>
    </row>
    <row r="36">
      <c r="D36" s="7"/>
    </row>
    <row r="37">
      <c r="D37" s="7"/>
    </row>
    <row r="38">
      <c r="D38" s="7"/>
    </row>
    <row r="39">
      <c r="D39" s="7"/>
    </row>
    <row r="40">
      <c r="D40" s="7"/>
    </row>
    <row r="41">
      <c r="D41" s="7"/>
    </row>
    <row r="42">
      <c r="D42" s="7"/>
    </row>
    <row r="43">
      <c r="D43" s="7"/>
    </row>
    <row r="44">
      <c r="D44" s="7"/>
    </row>
    <row r="45">
      <c r="D45" s="7"/>
    </row>
    <row r="46">
      <c r="D46" s="7"/>
    </row>
    <row r="47">
      <c r="D47" s="7"/>
    </row>
    <row r="48">
      <c r="D48" s="7"/>
    </row>
    <row r="49">
      <c r="D49" s="7"/>
    </row>
    <row r="50">
      <c r="D50" s="7"/>
    </row>
    <row r="51">
      <c r="D51" s="7"/>
    </row>
    <row r="52">
      <c r="D52" s="7"/>
    </row>
    <row r="53">
      <c r="D53" s="7"/>
    </row>
    <row r="54">
      <c r="D54" s="7"/>
    </row>
    <row r="55">
      <c r="D55" s="7"/>
    </row>
    <row r="56">
      <c r="D56" s="7"/>
    </row>
    <row r="57">
      <c r="D57" s="7"/>
    </row>
    <row r="58">
      <c r="D58" s="7"/>
    </row>
    <row r="59">
      <c r="D59" s="7"/>
    </row>
    <row r="60">
      <c r="D60" s="7"/>
    </row>
    <row r="61">
      <c r="D61" s="7"/>
    </row>
    <row r="62">
      <c r="D62" s="7"/>
    </row>
    <row r="63">
      <c r="D63" s="7"/>
    </row>
    <row r="64">
      <c r="D64" s="7"/>
    </row>
    <row r="65">
      <c r="D65" s="7"/>
    </row>
    <row r="66">
      <c r="D66" s="7"/>
    </row>
    <row r="67">
      <c r="D67" s="7"/>
    </row>
    <row r="68">
      <c r="D68" s="7"/>
    </row>
    <row r="69">
      <c r="D69" s="7"/>
    </row>
    <row r="70">
      <c r="D70" s="7"/>
    </row>
    <row r="71">
      <c r="D71" s="7"/>
    </row>
    <row r="72">
      <c r="D72" s="7"/>
    </row>
    <row r="73">
      <c r="D73" s="7"/>
    </row>
    <row r="74">
      <c r="D74" s="7"/>
    </row>
    <row r="75">
      <c r="D75" s="7"/>
    </row>
    <row r="76">
      <c r="D76" s="7"/>
    </row>
    <row r="77">
      <c r="D77" s="7"/>
    </row>
    <row r="78">
      <c r="D78" s="7"/>
    </row>
    <row r="79">
      <c r="D79" s="7"/>
    </row>
    <row r="80">
      <c r="D80" s="7"/>
    </row>
    <row r="81">
      <c r="D81" s="7"/>
    </row>
    <row r="82">
      <c r="D82" s="7"/>
    </row>
    <row r="83">
      <c r="D83" s="7"/>
    </row>
    <row r="84">
      <c r="D84" s="7"/>
    </row>
    <row r="85">
      <c r="D85" s="7"/>
    </row>
    <row r="86">
      <c r="D86" s="7"/>
    </row>
    <row r="87">
      <c r="D87" s="7"/>
    </row>
    <row r="88">
      <c r="D88" s="7"/>
    </row>
    <row r="89">
      <c r="D89" s="7"/>
    </row>
    <row r="90">
      <c r="D90" s="7"/>
    </row>
    <row r="91">
      <c r="D91" s="7"/>
    </row>
    <row r="92">
      <c r="D92" s="7"/>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9.25"/>
    <col customWidth="1" min="12" max="12" width="12.88"/>
  </cols>
  <sheetData>
    <row r="1">
      <c r="A1" s="8"/>
      <c r="B1" s="8"/>
      <c r="C1" s="8"/>
      <c r="D1" s="8" t="s">
        <v>8</v>
      </c>
      <c r="E1" s="8" t="s">
        <v>9</v>
      </c>
      <c r="F1" s="8" t="s">
        <v>10</v>
      </c>
      <c r="G1" s="9" t="s">
        <v>11</v>
      </c>
      <c r="H1" s="9"/>
      <c r="I1" s="8"/>
      <c r="J1" s="8" t="s">
        <v>12</v>
      </c>
      <c r="K1" s="8" t="s">
        <v>13</v>
      </c>
      <c r="P1" s="4"/>
      <c r="Q1" s="4"/>
      <c r="R1" s="4"/>
      <c r="S1" s="4"/>
      <c r="T1" s="4"/>
      <c r="U1" s="4"/>
      <c r="V1" s="4"/>
      <c r="W1" s="4"/>
      <c r="X1" s="4"/>
      <c r="Y1" s="4"/>
      <c r="Z1" s="4"/>
      <c r="AA1" s="4"/>
      <c r="AB1" s="4"/>
    </row>
    <row r="2">
      <c r="A2" s="6">
        <v>2006.0</v>
      </c>
      <c r="B2" s="6" t="s">
        <v>14</v>
      </c>
      <c r="C2" s="10">
        <v>38718.0</v>
      </c>
      <c r="D2" s="6">
        <v>144.0</v>
      </c>
      <c r="E2" s="6">
        <v>1436.0</v>
      </c>
      <c r="F2" s="11">
        <f t="shared" ref="F2:F209" si="1">E2+D2</f>
        <v>1580</v>
      </c>
      <c r="G2" s="12">
        <f>(N31-2*N34)/12</f>
        <v>2170.269961</v>
      </c>
      <c r="H2" s="13">
        <f>(N31+2*N34)/12</f>
        <v>2505.365899</v>
      </c>
      <c r="I2" s="6">
        <v>2019.0</v>
      </c>
      <c r="J2" s="6">
        <v>279546.0</v>
      </c>
      <c r="K2" s="6">
        <v>19478.0</v>
      </c>
    </row>
    <row r="3">
      <c r="A3" s="6">
        <v>2006.0</v>
      </c>
      <c r="B3" s="6" t="s">
        <v>15</v>
      </c>
      <c r="C3" s="10">
        <f t="shared" ref="C3:C209" si="3">DATE(YEAR(C2),MONTH(C2)+1,1)</f>
        <v>38749</v>
      </c>
      <c r="D3" s="6">
        <v>96.0</v>
      </c>
      <c r="E3" s="6">
        <v>1265.0</v>
      </c>
      <c r="F3" s="11">
        <f t="shared" si="1"/>
        <v>1361</v>
      </c>
      <c r="G3" s="12">
        <f t="shared" ref="G3:H3" si="2">G2</f>
        <v>2170.269961</v>
      </c>
      <c r="H3" s="13">
        <f t="shared" si="2"/>
        <v>2505.365899</v>
      </c>
      <c r="I3" s="6">
        <v>2020.0</v>
      </c>
      <c r="J3" s="6">
        <v>388572.0</v>
      </c>
      <c r="K3" s="6">
        <v>28481.0</v>
      </c>
    </row>
    <row r="4">
      <c r="A4" s="6">
        <v>2006.0</v>
      </c>
      <c r="B4" s="6" t="s">
        <v>16</v>
      </c>
      <c r="C4" s="10">
        <f t="shared" si="3"/>
        <v>38777</v>
      </c>
      <c r="D4" s="6">
        <v>80.0</v>
      </c>
      <c r="E4" s="6">
        <v>1544.0</v>
      </c>
      <c r="F4" s="11">
        <f t="shared" si="1"/>
        <v>1624</v>
      </c>
      <c r="G4" s="12">
        <f t="shared" ref="G4:H4" si="4">G3</f>
        <v>2170.269961</v>
      </c>
      <c r="H4" s="13">
        <f t="shared" si="4"/>
        <v>2505.365899</v>
      </c>
      <c r="I4" s="6">
        <v>2021.0</v>
      </c>
      <c r="J4" s="6">
        <v>341316.0</v>
      </c>
      <c r="K4" s="6">
        <v>23277.0</v>
      </c>
    </row>
    <row r="5">
      <c r="A5" s="6">
        <v>2006.0</v>
      </c>
      <c r="B5" s="6" t="s">
        <v>17</v>
      </c>
      <c r="C5" s="10">
        <f t="shared" si="3"/>
        <v>38808</v>
      </c>
      <c r="D5" s="6">
        <v>7.0</v>
      </c>
      <c r="E5" s="6">
        <v>1597.0</v>
      </c>
      <c r="F5" s="11">
        <f t="shared" si="1"/>
        <v>1604</v>
      </c>
      <c r="G5" s="12">
        <f t="shared" ref="G5:H5" si="5">G4</f>
        <v>2170.269961</v>
      </c>
      <c r="H5" s="13">
        <f t="shared" si="5"/>
        <v>2505.365899</v>
      </c>
      <c r="I5" s="6">
        <v>2022.0</v>
      </c>
      <c r="J5" s="6">
        <v>336085.0</v>
      </c>
      <c r="K5" s="6">
        <v>24660.0</v>
      </c>
    </row>
    <row r="6">
      <c r="A6" s="6">
        <v>2006.0</v>
      </c>
      <c r="B6" s="6" t="s">
        <v>18</v>
      </c>
      <c r="C6" s="10">
        <f t="shared" si="3"/>
        <v>38838</v>
      </c>
      <c r="D6" s="6">
        <v>121.0</v>
      </c>
      <c r="E6" s="6">
        <v>2245.0</v>
      </c>
      <c r="F6" s="11">
        <f t="shared" si="1"/>
        <v>2366</v>
      </c>
      <c r="G6" s="12">
        <f t="shared" ref="G6:H6" si="6">G5</f>
        <v>2170.269961</v>
      </c>
      <c r="H6" s="13">
        <f t="shared" si="6"/>
        <v>2505.365899</v>
      </c>
      <c r="K6" s="6" t="s">
        <v>19</v>
      </c>
      <c r="L6" s="6" t="s">
        <v>20</v>
      </c>
      <c r="M6" s="6" t="s">
        <v>21</v>
      </c>
      <c r="N6" s="6" t="s">
        <v>22</v>
      </c>
      <c r="O6" s="6" t="s">
        <v>23</v>
      </c>
    </row>
    <row r="7">
      <c r="A7" s="6">
        <v>2006.0</v>
      </c>
      <c r="B7" s="6" t="s">
        <v>24</v>
      </c>
      <c r="C7" s="10">
        <f t="shared" si="3"/>
        <v>38869</v>
      </c>
      <c r="D7" s="6">
        <v>113.0</v>
      </c>
      <c r="E7" s="6">
        <v>1856.0</v>
      </c>
      <c r="F7" s="11">
        <f t="shared" si="1"/>
        <v>1969</v>
      </c>
      <c r="G7" s="12">
        <f t="shared" ref="G7:H7" si="7">G6</f>
        <v>2170.269961</v>
      </c>
      <c r="H7" s="13">
        <f t="shared" si="7"/>
        <v>2505.365899</v>
      </c>
      <c r="I7" s="6">
        <v>1983.0</v>
      </c>
      <c r="J7" s="6">
        <v>413300.0</v>
      </c>
      <c r="K7" s="12">
        <f t="shared" ref="K7:K14" si="9">J7*0.0815-3433</f>
        <v>30250.95</v>
      </c>
      <c r="L7" s="12">
        <f t="shared" ref="L7:L14" si="10">$L$19*J7</f>
        <v>29511.1467</v>
      </c>
      <c r="M7" s="12">
        <f t="shared" ref="M7:M14" si="11">L7/12</f>
        <v>2459.262225</v>
      </c>
      <c r="N7" s="12">
        <f t="shared" ref="N7:N14" si="12">M7-2*M7*$O$20</f>
        <v>2368.094609</v>
      </c>
      <c r="O7" s="12">
        <f t="shared" ref="O7:O14" si="13">M7+2*M7*$O$20</f>
        <v>2550.429842</v>
      </c>
    </row>
    <row r="8">
      <c r="A8" s="6">
        <v>2006.0</v>
      </c>
      <c r="B8" s="6" t="s">
        <v>25</v>
      </c>
      <c r="C8" s="10">
        <f t="shared" si="3"/>
        <v>38899</v>
      </c>
      <c r="D8" s="6">
        <v>79.0</v>
      </c>
      <c r="E8" s="6">
        <v>1637.0</v>
      </c>
      <c r="F8" s="11">
        <f t="shared" si="1"/>
        <v>1716</v>
      </c>
      <c r="G8" s="12">
        <f t="shared" ref="G8:H8" si="8">G7</f>
        <v>2170.269961</v>
      </c>
      <c r="H8" s="13">
        <f t="shared" si="8"/>
        <v>2505.365899</v>
      </c>
      <c r="I8" s="6">
        <v>1984.0</v>
      </c>
      <c r="J8" s="6">
        <v>393478.0</v>
      </c>
      <c r="K8" s="12">
        <f t="shared" si="9"/>
        <v>28635.457</v>
      </c>
      <c r="L8" s="12">
        <f t="shared" si="10"/>
        <v>28095.78268</v>
      </c>
      <c r="M8" s="12">
        <f t="shared" si="11"/>
        <v>2341.315224</v>
      </c>
      <c r="N8" s="12">
        <f t="shared" si="12"/>
        <v>2254.520035</v>
      </c>
      <c r="O8" s="12">
        <f t="shared" si="13"/>
        <v>2428.110412</v>
      </c>
    </row>
    <row r="9">
      <c r="A9" s="6">
        <v>2006.0</v>
      </c>
      <c r="B9" s="6" t="s">
        <v>26</v>
      </c>
      <c r="C9" s="10">
        <f t="shared" si="3"/>
        <v>38930</v>
      </c>
      <c r="D9" s="6">
        <v>83.0</v>
      </c>
      <c r="E9" s="6">
        <v>1780.0</v>
      </c>
      <c r="F9" s="11">
        <f t="shared" si="1"/>
        <v>1863</v>
      </c>
      <c r="G9" s="12">
        <f t="shared" ref="G9:H9" si="14">G8</f>
        <v>2170.269961</v>
      </c>
      <c r="H9" s="13">
        <f t="shared" si="14"/>
        <v>2505.365899</v>
      </c>
      <c r="I9" s="6">
        <v>1985.0</v>
      </c>
      <c r="J9" s="6">
        <v>444808.0</v>
      </c>
      <c r="K9" s="12">
        <f t="shared" si="9"/>
        <v>32818.852</v>
      </c>
      <c r="L9" s="12">
        <f t="shared" si="10"/>
        <v>31760.93429</v>
      </c>
      <c r="M9" s="12">
        <f t="shared" si="11"/>
        <v>2646.744524</v>
      </c>
      <c r="N9" s="12">
        <f t="shared" si="12"/>
        <v>2548.626728</v>
      </c>
      <c r="O9" s="12">
        <f t="shared" si="13"/>
        <v>2744.862321</v>
      </c>
    </row>
    <row r="10">
      <c r="A10" s="6">
        <v>2006.0</v>
      </c>
      <c r="B10" s="6" t="s">
        <v>27</v>
      </c>
      <c r="C10" s="10">
        <f t="shared" si="3"/>
        <v>38961</v>
      </c>
      <c r="D10" s="6">
        <v>72.0</v>
      </c>
      <c r="E10" s="6">
        <v>1520.0</v>
      </c>
      <c r="F10" s="11">
        <f t="shared" si="1"/>
        <v>1592</v>
      </c>
      <c r="G10" s="12">
        <f t="shared" ref="G10:H10" si="15">G9</f>
        <v>2170.269961</v>
      </c>
      <c r="H10" s="13">
        <f t="shared" si="15"/>
        <v>2505.365899</v>
      </c>
      <c r="I10" s="6">
        <v>1987.0</v>
      </c>
      <c r="J10" s="6">
        <v>366901.0</v>
      </c>
      <c r="K10" s="12">
        <f t="shared" si="9"/>
        <v>26469.4315</v>
      </c>
      <c r="L10" s="12">
        <f t="shared" si="10"/>
        <v>26198.08671</v>
      </c>
      <c r="M10" s="12">
        <f t="shared" si="11"/>
        <v>2183.173892</v>
      </c>
      <c r="N10" s="12">
        <f t="shared" si="12"/>
        <v>2102.241181</v>
      </c>
      <c r="O10" s="12">
        <f t="shared" si="13"/>
        <v>2264.106604</v>
      </c>
    </row>
    <row r="11">
      <c r="A11" s="6">
        <v>2006.0</v>
      </c>
      <c r="B11" s="6" t="s">
        <v>28</v>
      </c>
      <c r="C11" s="10">
        <f t="shared" si="3"/>
        <v>38991</v>
      </c>
      <c r="D11" s="6">
        <v>69.0</v>
      </c>
      <c r="E11" s="6">
        <v>1381.0</v>
      </c>
      <c r="F11" s="11">
        <f t="shared" si="1"/>
        <v>1450</v>
      </c>
      <c r="G11" s="12">
        <f t="shared" ref="G11:H11" si="16">G10</f>
        <v>2170.269961</v>
      </c>
      <c r="H11" s="13">
        <f t="shared" si="16"/>
        <v>2505.365899</v>
      </c>
      <c r="I11" s="6">
        <v>1989.0</v>
      </c>
      <c r="J11" s="6">
        <v>350316.0</v>
      </c>
      <c r="K11" s="12">
        <f t="shared" si="9"/>
        <v>25117.754</v>
      </c>
      <c r="L11" s="12">
        <f t="shared" si="10"/>
        <v>25013.85644</v>
      </c>
      <c r="M11" s="12">
        <f t="shared" si="11"/>
        <v>2084.488037</v>
      </c>
      <c r="N11" s="12">
        <f t="shared" si="12"/>
        <v>2007.213721</v>
      </c>
      <c r="O11" s="12">
        <f t="shared" si="13"/>
        <v>2161.762353</v>
      </c>
    </row>
    <row r="12">
      <c r="A12" s="6">
        <v>2006.0</v>
      </c>
      <c r="B12" s="6" t="s">
        <v>29</v>
      </c>
      <c r="C12" s="10">
        <f t="shared" si="3"/>
        <v>39022</v>
      </c>
      <c r="D12" s="6">
        <v>72.0</v>
      </c>
      <c r="E12" s="6">
        <v>1337.0</v>
      </c>
      <c r="F12" s="11">
        <f t="shared" si="1"/>
        <v>1409</v>
      </c>
      <c r="G12" s="12">
        <f t="shared" ref="G12:H12" si="17">G11</f>
        <v>2170.269961</v>
      </c>
      <c r="H12" s="13">
        <f t="shared" si="17"/>
        <v>2505.365899</v>
      </c>
      <c r="I12" s="6">
        <v>1990.0</v>
      </c>
      <c r="J12" s="6">
        <v>351419.0</v>
      </c>
      <c r="K12" s="12">
        <f t="shared" si="9"/>
        <v>25207.6485</v>
      </c>
      <c r="L12" s="12">
        <f t="shared" si="10"/>
        <v>25092.61472</v>
      </c>
      <c r="M12" s="12">
        <f t="shared" si="11"/>
        <v>2091.051227</v>
      </c>
      <c r="N12" s="12">
        <f t="shared" si="12"/>
        <v>2013.533606</v>
      </c>
      <c r="O12" s="12">
        <f t="shared" si="13"/>
        <v>2168.568847</v>
      </c>
    </row>
    <row r="13">
      <c r="A13" s="6">
        <v>2006.0</v>
      </c>
      <c r="B13" s="6" t="s">
        <v>30</v>
      </c>
      <c r="C13" s="10">
        <f t="shared" si="3"/>
        <v>39052</v>
      </c>
      <c r="D13" s="6">
        <v>19.0</v>
      </c>
      <c r="E13" s="6">
        <v>880.0</v>
      </c>
      <c r="F13" s="11">
        <f t="shared" si="1"/>
        <v>899</v>
      </c>
      <c r="G13" s="12">
        <f t="shared" ref="G13:H13" si="18">G12</f>
        <v>2170.269961</v>
      </c>
      <c r="H13" s="13">
        <f t="shared" si="18"/>
        <v>2505.365899</v>
      </c>
      <c r="I13" s="6">
        <v>1992.0</v>
      </c>
      <c r="J13" s="6">
        <v>403670.0</v>
      </c>
      <c r="K13" s="12">
        <f t="shared" si="9"/>
        <v>29466.105</v>
      </c>
      <c r="L13" s="12">
        <f t="shared" si="10"/>
        <v>28823.52913</v>
      </c>
      <c r="M13" s="12">
        <f t="shared" si="11"/>
        <v>2401.960761</v>
      </c>
      <c r="N13" s="12">
        <f t="shared" si="12"/>
        <v>2312.917374</v>
      </c>
      <c r="O13" s="12">
        <f t="shared" si="13"/>
        <v>2491.004148</v>
      </c>
    </row>
    <row r="14">
      <c r="A14" s="6">
        <v>2007.0</v>
      </c>
      <c r="B14" s="6" t="s">
        <v>14</v>
      </c>
      <c r="C14" s="10">
        <f t="shared" si="3"/>
        <v>39083</v>
      </c>
      <c r="D14" s="6">
        <v>134.0</v>
      </c>
      <c r="E14" s="6">
        <v>927.0</v>
      </c>
      <c r="F14" s="11">
        <f t="shared" si="1"/>
        <v>1061</v>
      </c>
      <c r="G14" s="12">
        <f t="shared" ref="G14:H14" si="19">G13</f>
        <v>2170.269961</v>
      </c>
      <c r="H14" s="13">
        <f t="shared" si="19"/>
        <v>2505.365899</v>
      </c>
      <c r="I14" s="6">
        <v>1993.0</v>
      </c>
      <c r="J14" s="6">
        <v>419230.0</v>
      </c>
      <c r="K14" s="12">
        <f t="shared" si="9"/>
        <v>30734.245</v>
      </c>
      <c r="L14" s="12">
        <f t="shared" si="10"/>
        <v>29934.57061</v>
      </c>
      <c r="M14" s="12">
        <f t="shared" si="11"/>
        <v>2494.547551</v>
      </c>
      <c r="N14" s="12">
        <f t="shared" si="12"/>
        <v>2402.071867</v>
      </c>
      <c r="O14" s="12">
        <f t="shared" si="13"/>
        <v>2587.023234</v>
      </c>
    </row>
    <row r="15">
      <c r="A15" s="6">
        <v>2007.0</v>
      </c>
      <c r="B15" s="6" t="s">
        <v>15</v>
      </c>
      <c r="C15" s="10">
        <f t="shared" si="3"/>
        <v>39114</v>
      </c>
      <c r="D15" s="6">
        <v>10.0</v>
      </c>
      <c r="E15" s="6">
        <v>935.0</v>
      </c>
      <c r="F15" s="11">
        <f t="shared" si="1"/>
        <v>945</v>
      </c>
      <c r="G15" s="12">
        <f t="shared" ref="G15:H15" si="20">G14</f>
        <v>2170.269961</v>
      </c>
      <c r="H15" s="13">
        <f t="shared" si="20"/>
        <v>2505.365899</v>
      </c>
      <c r="I15" s="6">
        <v>0.0</v>
      </c>
      <c r="J15" s="6">
        <v>0.0</v>
      </c>
      <c r="K15" s="6">
        <v>0.0</v>
      </c>
    </row>
    <row r="16">
      <c r="A16" s="6">
        <v>2007.0</v>
      </c>
      <c r="B16" s="6" t="s">
        <v>16</v>
      </c>
      <c r="C16" s="10">
        <f t="shared" si="3"/>
        <v>39142</v>
      </c>
      <c r="D16" s="6">
        <v>11.0</v>
      </c>
      <c r="E16" s="6">
        <v>1324.0</v>
      </c>
      <c r="F16" s="11">
        <f t="shared" si="1"/>
        <v>1335</v>
      </c>
      <c r="G16" s="12">
        <f t="shared" ref="G16:H16" si="21">G15</f>
        <v>2170.269961</v>
      </c>
      <c r="H16" s="13">
        <f t="shared" si="21"/>
        <v>2505.365899</v>
      </c>
    </row>
    <row r="17">
      <c r="A17" s="6">
        <v>2007.0</v>
      </c>
      <c r="B17" s="6" t="s">
        <v>17</v>
      </c>
      <c r="C17" s="10">
        <f t="shared" si="3"/>
        <v>39173</v>
      </c>
      <c r="D17" s="6">
        <v>71.0</v>
      </c>
      <c r="E17" s="6">
        <v>1486.0</v>
      </c>
      <c r="F17" s="11">
        <f t="shared" si="1"/>
        <v>1557</v>
      </c>
      <c r="G17" s="12">
        <f t="shared" ref="G17:H17" si="22">G16</f>
        <v>2170.269961</v>
      </c>
      <c r="H17" s="13">
        <f t="shared" si="22"/>
        <v>2505.365899</v>
      </c>
      <c r="J17" s="8" t="s">
        <v>31</v>
      </c>
      <c r="L17" s="8" t="s">
        <v>32</v>
      </c>
    </row>
    <row r="18">
      <c r="A18" s="6">
        <v>2007.0</v>
      </c>
      <c r="B18" s="6" t="s">
        <v>18</v>
      </c>
      <c r="C18" s="10">
        <f t="shared" si="3"/>
        <v>39203</v>
      </c>
      <c r="D18" s="6">
        <v>65.0</v>
      </c>
      <c r="E18" s="6">
        <v>2140.0</v>
      </c>
      <c r="F18" s="11">
        <f t="shared" si="1"/>
        <v>2205</v>
      </c>
      <c r="G18" s="12">
        <f t="shared" ref="G18:H18" si="23">G17</f>
        <v>2170.269961</v>
      </c>
      <c r="H18" s="13">
        <f t="shared" si="23"/>
        <v>2505.365899</v>
      </c>
      <c r="J18" s="8" t="s">
        <v>33</v>
      </c>
      <c r="K18" s="8" t="s">
        <v>34</v>
      </c>
      <c r="L18" s="8" t="s">
        <v>33</v>
      </c>
      <c r="M18" s="8" t="s">
        <v>34</v>
      </c>
      <c r="O18" s="8" t="s">
        <v>35</v>
      </c>
    </row>
    <row r="19">
      <c r="A19" s="6">
        <v>2007.0</v>
      </c>
      <c r="B19" s="6" t="s">
        <v>24</v>
      </c>
      <c r="C19" s="10">
        <f t="shared" si="3"/>
        <v>39234</v>
      </c>
      <c r="D19" s="6">
        <v>97.0</v>
      </c>
      <c r="E19" s="6">
        <v>2288.0</v>
      </c>
      <c r="F19" s="11">
        <f t="shared" si="1"/>
        <v>2385</v>
      </c>
      <c r="G19" s="12">
        <f t="shared" ref="G19:H19" si="24">G18</f>
        <v>2170.269961</v>
      </c>
      <c r="H19" s="13">
        <f t="shared" si="24"/>
        <v>2505.365899</v>
      </c>
      <c r="I19" s="6" t="s">
        <v>36</v>
      </c>
      <c r="J19" s="14">
        <f t="array" ref="J19:K23">LINEST($K$2:$K$5, $J$2:$J$5, TRUE, true)</f>
        <v>0.08147652335</v>
      </c>
      <c r="K19" s="15">
        <v>-3433.0525541447205</v>
      </c>
      <c r="L19" s="16">
        <f t="array" ref="L19:M23">LINEST($K$2:$K$5, $J$2:$J$5, false, true)</f>
        <v>0.07140369394</v>
      </c>
      <c r="M19" s="16">
        <v>0.0</v>
      </c>
      <c r="N19" s="6" t="s">
        <v>37</v>
      </c>
      <c r="O19" s="15">
        <f>L19/J19</f>
        <v>0.876371389</v>
      </c>
    </row>
    <row r="20">
      <c r="A20" s="6">
        <v>2007.0</v>
      </c>
      <c r="B20" s="6" t="s">
        <v>25</v>
      </c>
      <c r="C20" s="10">
        <f t="shared" si="3"/>
        <v>39264</v>
      </c>
      <c r="D20" s="6">
        <v>55.0</v>
      </c>
      <c r="E20" s="6">
        <v>2044.0</v>
      </c>
      <c r="F20" s="11">
        <f t="shared" si="1"/>
        <v>2099</v>
      </c>
      <c r="G20" s="12">
        <f t="shared" ref="G20:H20" si="25">G19</f>
        <v>2170.269961</v>
      </c>
      <c r="H20" s="13">
        <f t="shared" si="25"/>
        <v>2505.365899</v>
      </c>
      <c r="I20" s="6" t="s">
        <v>38</v>
      </c>
      <c r="J20" s="14">
        <v>0.01225321697356936</v>
      </c>
      <c r="K20" s="14">
        <v>4148.867182086116</v>
      </c>
      <c r="L20" s="16">
        <v>0.0013235076205933205</v>
      </c>
      <c r="M20" s="16" t="e">
        <v>#N/A</v>
      </c>
      <c r="N20" s="6" t="s">
        <v>39</v>
      </c>
      <c r="O20" s="14">
        <f>L20/L19</f>
        <v>0.01853556234</v>
      </c>
    </row>
    <row r="21">
      <c r="A21" s="6">
        <v>2007.0</v>
      </c>
      <c r="B21" s="6" t="s">
        <v>26</v>
      </c>
      <c r="C21" s="10">
        <f t="shared" si="3"/>
        <v>39295</v>
      </c>
      <c r="D21" s="6">
        <v>106.0</v>
      </c>
      <c r="E21" s="6">
        <v>2078.0</v>
      </c>
      <c r="F21" s="11">
        <f t="shared" si="1"/>
        <v>2184</v>
      </c>
      <c r="G21" s="12">
        <f t="shared" ref="G21:H21" si="26">G20</f>
        <v>2170.269961</v>
      </c>
      <c r="H21" s="13">
        <f t="shared" si="26"/>
        <v>2505.365899</v>
      </c>
      <c r="I21" s="6" t="s">
        <v>40</v>
      </c>
      <c r="J21" s="11">
        <v>0.9567235403295796</v>
      </c>
      <c r="K21" s="11">
        <v>947.4327724023734</v>
      </c>
      <c r="L21" s="16">
        <v>0.9989703600368315</v>
      </c>
      <c r="M21" s="16">
        <v>896.2637883855194</v>
      </c>
      <c r="N21" s="6" t="s">
        <v>41</v>
      </c>
      <c r="O21" s="14">
        <f>J20/J19</f>
        <v>0.1503895413</v>
      </c>
    </row>
    <row r="22">
      <c r="A22" s="6">
        <v>2007.0</v>
      </c>
      <c r="B22" s="6" t="s">
        <v>27</v>
      </c>
      <c r="C22" s="10">
        <f t="shared" si="3"/>
        <v>39326</v>
      </c>
      <c r="D22" s="6">
        <v>101.0</v>
      </c>
      <c r="E22" s="6">
        <v>1639.0</v>
      </c>
      <c r="F22" s="11">
        <f t="shared" si="1"/>
        <v>1740</v>
      </c>
      <c r="G22" s="12">
        <f t="shared" ref="G22:H22" si="27">G21</f>
        <v>2170.269961</v>
      </c>
      <c r="H22" s="13">
        <f t="shared" si="27"/>
        <v>2505.365899</v>
      </c>
      <c r="I22" s="6" t="s">
        <v>42</v>
      </c>
      <c r="J22" s="11">
        <v>44.21450126076292</v>
      </c>
      <c r="K22" s="11">
        <v>2.0</v>
      </c>
      <c r="L22" s="11">
        <v>2910.6398229611077</v>
      </c>
      <c r="M22" s="11">
        <v>3.0</v>
      </c>
    </row>
    <row r="23">
      <c r="A23" s="6">
        <v>2007.0</v>
      </c>
      <c r="B23" s="6" t="s">
        <v>28</v>
      </c>
      <c r="C23" s="10">
        <f t="shared" si="3"/>
        <v>39356</v>
      </c>
      <c r="D23" s="6">
        <v>104.0</v>
      </c>
      <c r="E23" s="6">
        <v>2050.0</v>
      </c>
      <c r="F23" s="11">
        <f t="shared" si="1"/>
        <v>2154</v>
      </c>
      <c r="G23" s="12">
        <f t="shared" ref="G23:H23" si="28">G22</f>
        <v>2170.269961</v>
      </c>
      <c r="H23" s="13">
        <f t="shared" si="28"/>
        <v>2505.365899</v>
      </c>
      <c r="I23" s="6" t="s">
        <v>43</v>
      </c>
      <c r="J23" s="11">
        <v>3.96882122835559E7</v>
      </c>
      <c r="K23" s="11">
        <v>1795257.7164440951</v>
      </c>
      <c r="L23" s="11">
        <v>2.3380843076648865E9</v>
      </c>
      <c r="M23" s="11">
        <v>2409866.335113489</v>
      </c>
    </row>
    <row r="24">
      <c r="A24" s="6">
        <v>2007.0</v>
      </c>
      <c r="B24" s="6" t="s">
        <v>29</v>
      </c>
      <c r="C24" s="10">
        <f t="shared" si="3"/>
        <v>39387</v>
      </c>
      <c r="D24" s="6">
        <v>45.0</v>
      </c>
      <c r="E24" s="6">
        <v>1987.0</v>
      </c>
      <c r="F24" s="11">
        <f t="shared" si="1"/>
        <v>2032</v>
      </c>
      <c r="G24" s="12">
        <f t="shared" ref="G24:H24" si="29">G23</f>
        <v>2170.269961</v>
      </c>
      <c r="H24" s="13">
        <f t="shared" si="29"/>
        <v>2505.365899</v>
      </c>
      <c r="T24" s="17">
        <f t="shared" ref="T24:U24" si="30">max(Q27:Q119)</f>
        <v>0.004762126134</v>
      </c>
      <c r="U24" s="11">
        <f t="shared" si="30"/>
        <v>0.0007233569634</v>
      </c>
    </row>
    <row r="25">
      <c r="A25" s="6">
        <v>2007.0</v>
      </c>
      <c r="B25" s="6" t="s">
        <v>30</v>
      </c>
      <c r="C25" s="10">
        <f t="shared" si="3"/>
        <v>39417</v>
      </c>
      <c r="D25" s="6">
        <v>151.0</v>
      </c>
      <c r="E25" s="6">
        <v>1158.0</v>
      </c>
      <c r="F25" s="11">
        <f t="shared" si="1"/>
        <v>1309</v>
      </c>
      <c r="G25" s="12">
        <f t="shared" ref="G25:H25" si="31">G24</f>
        <v>2170.269961</v>
      </c>
      <c r="H25" s="13">
        <f t="shared" si="31"/>
        <v>2505.365899</v>
      </c>
      <c r="I25" s="6" t="s">
        <v>44</v>
      </c>
      <c r="M25" s="6" t="s">
        <v>45</v>
      </c>
      <c r="T25" s="6" t="s">
        <v>46</v>
      </c>
    </row>
    <row r="26">
      <c r="A26" s="6">
        <v>2008.0</v>
      </c>
      <c r="B26" s="6" t="s">
        <v>14</v>
      </c>
      <c r="C26" s="10">
        <f t="shared" si="3"/>
        <v>39448</v>
      </c>
      <c r="D26" s="6">
        <v>93.0</v>
      </c>
      <c r="E26" s="6">
        <v>1372.0</v>
      </c>
      <c r="F26" s="11">
        <f t="shared" si="1"/>
        <v>1465</v>
      </c>
      <c r="G26" s="12">
        <f t="shared" ref="G26:H26" si="32">G25</f>
        <v>2170.269961</v>
      </c>
      <c r="H26" s="13">
        <f t="shared" si="32"/>
        <v>2505.365899</v>
      </c>
      <c r="I26" s="6" t="s">
        <v>47</v>
      </c>
      <c r="J26" s="12">
        <f>AVERAGE(F160:F209)</f>
        <v>2043.54</v>
      </c>
      <c r="M26" s="6" t="s">
        <v>48</v>
      </c>
      <c r="N26" s="12">
        <f>AVERAGE(J7:J14)</f>
        <v>392890.25</v>
      </c>
      <c r="O26" s="6" t="s">
        <v>49</v>
      </c>
      <c r="P26" s="6" t="s">
        <v>50</v>
      </c>
      <c r="Q26" s="6" t="s">
        <v>51</v>
      </c>
      <c r="R26" s="6" t="s">
        <v>52</v>
      </c>
      <c r="T26" s="6" t="s">
        <v>53</v>
      </c>
      <c r="U26" s="6" t="s">
        <v>54</v>
      </c>
    </row>
    <row r="27">
      <c r="A27" s="6">
        <v>2008.0</v>
      </c>
      <c r="B27" s="6" t="s">
        <v>15</v>
      </c>
      <c r="C27" s="10">
        <f t="shared" si="3"/>
        <v>39479</v>
      </c>
      <c r="D27" s="6">
        <v>8.0</v>
      </c>
      <c r="E27" s="6">
        <v>1503.0</v>
      </c>
      <c r="F27" s="11">
        <f t="shared" si="1"/>
        <v>1511</v>
      </c>
      <c r="G27" s="12">
        <f t="shared" ref="G27:H27" si="33">G26</f>
        <v>2170.269961</v>
      </c>
      <c r="H27" s="13">
        <f t="shared" si="33"/>
        <v>2505.365899</v>
      </c>
      <c r="I27" s="6" t="s">
        <v>55</v>
      </c>
      <c r="J27" s="12">
        <f>STDEV(F160:F209)</f>
        <v>536.5198595</v>
      </c>
      <c r="M27" s="6" t="s">
        <v>56</v>
      </c>
      <c r="N27" s="12">
        <f>STDEV(J7:J14)</f>
        <v>34080.18697</v>
      </c>
      <c r="O27" s="6">
        <v>-9.2</v>
      </c>
      <c r="P27" s="12">
        <f t="shared" ref="P27:P119" si="35">$N$36+O27*$N$37</f>
        <v>1567.097274</v>
      </c>
      <c r="Q27" s="17">
        <f t="shared" ref="Q27:Q119" si="36">NORMDIST(P27,$N$36,$N$37,0)</f>
        <v>0</v>
      </c>
      <c r="R27" s="6">
        <f t="shared" ref="R27:R119" si="37">NORMDIST(P27,$J$30,$J$31,0)</f>
        <v>0.0004446754515</v>
      </c>
      <c r="T27" s="11">
        <f t="shared" ref="T27:T119" si="38">Q27/$T$24</f>
        <v>0</v>
      </c>
      <c r="U27" s="11">
        <f t="shared" ref="U27:U119" si="39">R27/$U$24</f>
        <v>0.6147386062</v>
      </c>
    </row>
    <row r="28">
      <c r="A28" s="6">
        <v>2008.0</v>
      </c>
      <c r="B28" s="6" t="s">
        <v>16</v>
      </c>
      <c r="C28" s="10">
        <f t="shared" si="3"/>
        <v>39508</v>
      </c>
      <c r="D28" s="6">
        <v>115.0</v>
      </c>
      <c r="E28" s="6">
        <v>1688.0</v>
      </c>
      <c r="F28" s="11">
        <f t="shared" si="1"/>
        <v>1803</v>
      </c>
      <c r="G28" s="12">
        <f t="shared" ref="G28:H28" si="34">G27</f>
        <v>2170.269961</v>
      </c>
      <c r="H28" s="13">
        <f t="shared" si="34"/>
        <v>2505.365899</v>
      </c>
      <c r="M28" s="6" t="s">
        <v>57</v>
      </c>
      <c r="N28" s="12">
        <f>N27/sqrt(8)</f>
        <v>12049.16565</v>
      </c>
      <c r="O28" s="6">
        <v>-9.0</v>
      </c>
      <c r="P28" s="12">
        <f t="shared" si="35"/>
        <v>1583.852071</v>
      </c>
      <c r="Q28" s="17">
        <f t="shared" si="36"/>
        <v>0</v>
      </c>
      <c r="R28" s="6">
        <f t="shared" si="37"/>
        <v>0.0004579947923</v>
      </c>
      <c r="T28" s="11">
        <f t="shared" si="38"/>
        <v>0</v>
      </c>
      <c r="U28" s="11">
        <f t="shared" si="39"/>
        <v>0.6331518399</v>
      </c>
    </row>
    <row r="29">
      <c r="A29" s="6">
        <v>2008.0</v>
      </c>
      <c r="B29" s="6" t="s">
        <v>17</v>
      </c>
      <c r="C29" s="10">
        <f t="shared" si="3"/>
        <v>39539</v>
      </c>
      <c r="D29" s="6">
        <v>81.0</v>
      </c>
      <c r="E29" s="6">
        <v>1760.0</v>
      </c>
      <c r="F29" s="11">
        <f t="shared" si="1"/>
        <v>1841</v>
      </c>
      <c r="G29" s="12">
        <f t="shared" ref="G29:H29" si="40">G28</f>
        <v>2170.269961</v>
      </c>
      <c r="H29" s="13">
        <f t="shared" si="40"/>
        <v>2505.365899</v>
      </c>
      <c r="I29" s="6" t="s">
        <v>58</v>
      </c>
      <c r="M29" s="6" t="s">
        <v>59</v>
      </c>
      <c r="N29" s="18">
        <f>N28/N26</f>
        <v>0.03066801901</v>
      </c>
      <c r="O29" s="6">
        <v>-8.8</v>
      </c>
      <c r="P29" s="12">
        <f t="shared" si="35"/>
        <v>1600.606867</v>
      </c>
      <c r="Q29" s="17">
        <f t="shared" si="36"/>
        <v>0</v>
      </c>
      <c r="R29" s="6">
        <f t="shared" si="37"/>
        <v>0.0004712778453</v>
      </c>
      <c r="T29" s="11">
        <f t="shared" si="38"/>
        <v>0</v>
      </c>
      <c r="U29" s="11">
        <f t="shared" si="39"/>
        <v>0.6515149077</v>
      </c>
    </row>
    <row r="30">
      <c r="A30" s="6">
        <v>2008.0</v>
      </c>
      <c r="B30" s="6" t="s">
        <v>18</v>
      </c>
      <c r="C30" s="10">
        <f t="shared" si="3"/>
        <v>39569</v>
      </c>
      <c r="D30" s="6">
        <v>103.0</v>
      </c>
      <c r="E30" s="6">
        <v>1533.0</v>
      </c>
      <c r="F30" s="11">
        <f t="shared" si="1"/>
        <v>1636</v>
      </c>
      <c r="G30" s="12">
        <f t="shared" ref="G30:H30" si="41">G29</f>
        <v>2170.269961</v>
      </c>
      <c r="H30" s="13">
        <f t="shared" si="41"/>
        <v>2505.365899</v>
      </c>
      <c r="I30" s="6" t="s">
        <v>47</v>
      </c>
      <c r="J30" s="12">
        <f>AVERAGE(F170:F213)</f>
        <v>2111.15</v>
      </c>
      <c r="O30" s="6">
        <v>-8.6</v>
      </c>
      <c r="P30" s="12">
        <f t="shared" si="35"/>
        <v>1617.361664</v>
      </c>
      <c r="Q30" s="17">
        <f t="shared" si="36"/>
        <v>0</v>
      </c>
      <c r="R30" s="6">
        <f t="shared" si="37"/>
        <v>0.0004844986905</v>
      </c>
      <c r="T30" s="11">
        <f t="shared" si="38"/>
        <v>0</v>
      </c>
      <c r="U30" s="11">
        <f t="shared" si="39"/>
        <v>0.6697919769</v>
      </c>
    </row>
    <row r="31">
      <c r="A31" s="6">
        <v>2008.0</v>
      </c>
      <c r="B31" s="6" t="s">
        <v>24</v>
      </c>
      <c r="C31" s="10">
        <f t="shared" si="3"/>
        <v>39600</v>
      </c>
      <c r="D31" s="6">
        <v>71.0</v>
      </c>
      <c r="E31" s="6">
        <v>1770.0</v>
      </c>
      <c r="F31" s="11">
        <f t="shared" si="1"/>
        <v>1841</v>
      </c>
      <c r="G31" s="12">
        <f t="shared" ref="G31:H31" si="42">G30</f>
        <v>2170.269961</v>
      </c>
      <c r="H31" s="13">
        <f t="shared" si="42"/>
        <v>2505.365899</v>
      </c>
      <c r="I31" s="6" t="s">
        <v>55</v>
      </c>
      <c r="J31" s="12">
        <f>STDEV(F170:F213)</f>
        <v>551.4585114</v>
      </c>
      <c r="M31" s="6" t="s">
        <v>60</v>
      </c>
      <c r="N31" s="12">
        <f>N26*L19</f>
        <v>28053.81516</v>
      </c>
      <c r="O31" s="6">
        <v>-8.4</v>
      </c>
      <c r="P31" s="12">
        <f t="shared" si="35"/>
        <v>1634.116461</v>
      </c>
      <c r="Q31" s="17">
        <f t="shared" si="36"/>
        <v>0</v>
      </c>
      <c r="R31" s="6">
        <f t="shared" si="37"/>
        <v>0.0004976308433</v>
      </c>
      <c r="T31" s="11">
        <f t="shared" si="38"/>
        <v>0</v>
      </c>
      <c r="U31" s="11">
        <f t="shared" si="39"/>
        <v>0.6879464338</v>
      </c>
    </row>
    <row r="32">
      <c r="A32" s="6">
        <v>2008.0</v>
      </c>
      <c r="B32" s="6" t="s">
        <v>25</v>
      </c>
      <c r="C32" s="10">
        <f t="shared" si="3"/>
        <v>39630</v>
      </c>
      <c r="D32" s="6">
        <v>97.0</v>
      </c>
      <c r="E32" s="6">
        <v>1422.0</v>
      </c>
      <c r="F32" s="11">
        <f t="shared" si="1"/>
        <v>1519</v>
      </c>
      <c r="G32" s="12">
        <f t="shared" ref="G32:H32" si="43">G31</f>
        <v>2170.269961</v>
      </c>
      <c r="H32" s="13">
        <f t="shared" si="43"/>
        <v>2505.365899</v>
      </c>
      <c r="M32" s="6" t="s">
        <v>61</v>
      </c>
      <c r="N32" s="12">
        <f>N31*O20</f>
        <v>519.9932399</v>
      </c>
      <c r="O32" s="6">
        <v>-8.2</v>
      </c>
      <c r="P32" s="12">
        <f t="shared" si="35"/>
        <v>1650.871258</v>
      </c>
      <c r="Q32" s="17">
        <f t="shared" si="36"/>
        <v>0</v>
      </c>
      <c r="R32" s="6">
        <f t="shared" si="37"/>
        <v>0.0005106473377</v>
      </c>
      <c r="T32" s="11">
        <f t="shared" si="38"/>
        <v>0</v>
      </c>
      <c r="U32" s="11">
        <f t="shared" si="39"/>
        <v>0.7059409995</v>
      </c>
    </row>
    <row r="33">
      <c r="A33" s="6">
        <v>2008.0</v>
      </c>
      <c r="B33" s="6" t="s">
        <v>26</v>
      </c>
      <c r="C33" s="10">
        <f t="shared" si="3"/>
        <v>39661</v>
      </c>
      <c r="D33" s="6">
        <v>106.0</v>
      </c>
      <c r="E33" s="6">
        <v>1270.0</v>
      </c>
      <c r="F33" s="11">
        <f t="shared" si="1"/>
        <v>1376</v>
      </c>
      <c r="G33" s="12">
        <f t="shared" ref="G33:H33" si="44">G32</f>
        <v>2170.269961</v>
      </c>
      <c r="H33" s="13">
        <f t="shared" si="44"/>
        <v>2505.365899</v>
      </c>
      <c r="M33" s="6" t="s">
        <v>62</v>
      </c>
      <c r="N33" s="12">
        <f>N31*N29</f>
        <v>860.3549365</v>
      </c>
      <c r="O33" s="6">
        <v>-8.0</v>
      </c>
      <c r="P33" s="12">
        <f t="shared" si="35"/>
        <v>1667.626055</v>
      </c>
      <c r="Q33" s="17">
        <f t="shared" si="36"/>
        <v>0</v>
      </c>
      <c r="R33" s="6">
        <f t="shared" si="37"/>
        <v>0.0005235208141</v>
      </c>
      <c r="T33" s="11">
        <f t="shared" si="38"/>
        <v>0</v>
      </c>
      <c r="U33" s="11">
        <f t="shared" si="39"/>
        <v>0.7237378509</v>
      </c>
    </row>
    <row r="34">
      <c r="A34" s="6">
        <v>2008.0</v>
      </c>
      <c r="B34" s="6" t="s">
        <v>27</v>
      </c>
      <c r="C34" s="10">
        <f t="shared" si="3"/>
        <v>39692</v>
      </c>
      <c r="D34" s="6">
        <v>61.0</v>
      </c>
      <c r="E34" s="6">
        <v>1293.0</v>
      </c>
      <c r="F34" s="11">
        <f t="shared" si="1"/>
        <v>1354</v>
      </c>
      <c r="G34" s="12">
        <f t="shared" ref="G34:H34" si="45">G33</f>
        <v>2170.269961</v>
      </c>
      <c r="H34" s="13">
        <f t="shared" si="45"/>
        <v>2505.365899</v>
      </c>
      <c r="M34" s="6" t="s">
        <v>63</v>
      </c>
      <c r="N34" s="12">
        <f>sqrt(N33^2+N32^2)</f>
        <v>1005.287813</v>
      </c>
      <c r="O34" s="6">
        <v>-7.8</v>
      </c>
      <c r="P34" s="12">
        <f t="shared" si="35"/>
        <v>1684.380852</v>
      </c>
      <c r="Q34" s="17">
        <f t="shared" si="36"/>
        <v>0</v>
      </c>
      <c r="R34" s="6">
        <f t="shared" si="37"/>
        <v>0.0005362236113</v>
      </c>
      <c r="T34" s="11">
        <f t="shared" si="38"/>
        <v>0</v>
      </c>
      <c r="U34" s="11">
        <f t="shared" si="39"/>
        <v>0.741298748</v>
      </c>
    </row>
    <row r="35">
      <c r="A35" s="6">
        <v>2008.0</v>
      </c>
      <c r="B35" s="6" t="s">
        <v>28</v>
      </c>
      <c r="C35" s="10">
        <f t="shared" si="3"/>
        <v>39722</v>
      </c>
      <c r="D35" s="6">
        <v>65.0</v>
      </c>
      <c r="E35" s="6">
        <v>1364.0</v>
      </c>
      <c r="F35" s="11">
        <f t="shared" si="1"/>
        <v>1429</v>
      </c>
      <c r="G35" s="12">
        <f t="shared" ref="G35:H35" si="46">G34</f>
        <v>2170.269961</v>
      </c>
      <c r="H35" s="13">
        <f t="shared" si="46"/>
        <v>2505.365899</v>
      </c>
      <c r="N35" s="12"/>
      <c r="O35" s="6">
        <v>-7.6</v>
      </c>
      <c r="P35" s="12">
        <f t="shared" si="35"/>
        <v>1701.135649</v>
      </c>
      <c r="Q35" s="17">
        <f t="shared" si="36"/>
        <v>0</v>
      </c>
      <c r="R35" s="6">
        <f t="shared" si="37"/>
        <v>0.0005487278622</v>
      </c>
      <c r="T35" s="11">
        <f t="shared" si="38"/>
        <v>0</v>
      </c>
      <c r="U35" s="11">
        <f t="shared" si="39"/>
        <v>0.758585166</v>
      </c>
    </row>
    <row r="36">
      <c r="A36" s="6">
        <v>2008.0</v>
      </c>
      <c r="B36" s="6" t="s">
        <v>29</v>
      </c>
      <c r="C36" s="10">
        <f t="shared" si="3"/>
        <v>39753</v>
      </c>
      <c r="D36" s="6">
        <v>115.0</v>
      </c>
      <c r="E36" s="6">
        <v>959.0</v>
      </c>
      <c r="F36" s="11">
        <f t="shared" si="1"/>
        <v>1074</v>
      </c>
      <c r="G36" s="12">
        <f t="shared" ref="G36:H36" si="47">G35</f>
        <v>2170.269961</v>
      </c>
      <c r="H36" s="13">
        <f t="shared" si="47"/>
        <v>2505.365899</v>
      </c>
      <c r="M36" s="6" t="s">
        <v>47</v>
      </c>
      <c r="N36" s="12">
        <f>N31/12</f>
        <v>2337.81793</v>
      </c>
      <c r="O36" s="6">
        <v>-7.4</v>
      </c>
      <c r="P36" s="12">
        <f t="shared" si="35"/>
        <v>1717.890446</v>
      </c>
      <c r="Q36" s="17">
        <f t="shared" si="36"/>
        <v>0</v>
      </c>
      <c r="R36" s="6">
        <f t="shared" si="37"/>
        <v>0.0005610055929</v>
      </c>
      <c r="T36" s="11">
        <f t="shared" si="38"/>
        <v>0</v>
      </c>
      <c r="U36" s="11">
        <f t="shared" si="39"/>
        <v>0.7755584329</v>
      </c>
    </row>
    <row r="37">
      <c r="A37" s="6">
        <v>2008.0</v>
      </c>
      <c r="B37" s="6" t="s">
        <v>30</v>
      </c>
      <c r="C37" s="10">
        <f t="shared" si="3"/>
        <v>39783</v>
      </c>
      <c r="D37" s="6">
        <v>120.0</v>
      </c>
      <c r="E37" s="6">
        <v>837.0</v>
      </c>
      <c r="F37" s="11">
        <f t="shared" si="1"/>
        <v>957</v>
      </c>
      <c r="G37" s="12">
        <f t="shared" ref="G37:H37" si="48">G36</f>
        <v>2170.269961</v>
      </c>
      <c r="H37" s="13">
        <f t="shared" si="48"/>
        <v>2505.365899</v>
      </c>
      <c r="M37" s="6" t="s">
        <v>55</v>
      </c>
      <c r="N37" s="12">
        <f>N34/12</f>
        <v>83.77398439</v>
      </c>
      <c r="O37" s="6">
        <v>-7.2</v>
      </c>
      <c r="P37" s="12">
        <f t="shared" si="35"/>
        <v>1734.645242</v>
      </c>
      <c r="Q37" s="17">
        <f t="shared" si="36"/>
        <v>0</v>
      </c>
      <c r="R37" s="6">
        <f t="shared" si="37"/>
        <v>0.0005730288248</v>
      </c>
      <c r="T37" s="11">
        <f t="shared" si="38"/>
        <v>0</v>
      </c>
      <c r="U37" s="11">
        <f t="shared" si="39"/>
        <v>0.7921798694</v>
      </c>
    </row>
    <row r="38">
      <c r="A38" s="6">
        <v>2009.0</v>
      </c>
      <c r="B38" s="6" t="s">
        <v>14</v>
      </c>
      <c r="C38" s="10">
        <f t="shared" si="3"/>
        <v>39814</v>
      </c>
      <c r="D38" s="6">
        <v>7.0</v>
      </c>
      <c r="E38" s="6">
        <v>688.0</v>
      </c>
      <c r="F38" s="11">
        <f t="shared" si="1"/>
        <v>695</v>
      </c>
      <c r="G38" s="12">
        <f t="shared" ref="G38:H38" si="49">G37</f>
        <v>2170.269961</v>
      </c>
      <c r="H38" s="13">
        <f t="shared" si="49"/>
        <v>2505.365899</v>
      </c>
      <c r="O38" s="6">
        <v>-7.0</v>
      </c>
      <c r="P38" s="12">
        <f t="shared" si="35"/>
        <v>1751.400039</v>
      </c>
      <c r="Q38" s="17">
        <f t="shared" si="36"/>
        <v>0</v>
      </c>
      <c r="R38" s="6">
        <f t="shared" si="37"/>
        <v>0.0005847696785</v>
      </c>
      <c r="T38" s="11">
        <f t="shared" si="38"/>
        <v>0</v>
      </c>
      <c r="U38" s="11">
        <f t="shared" si="39"/>
        <v>0.8084109341</v>
      </c>
    </row>
    <row r="39">
      <c r="A39" s="6">
        <v>2009.0</v>
      </c>
      <c r="B39" s="6" t="s">
        <v>15</v>
      </c>
      <c r="C39" s="10">
        <f t="shared" si="3"/>
        <v>39845</v>
      </c>
      <c r="D39" s="6">
        <v>0.0</v>
      </c>
      <c r="E39" s="6">
        <v>648.0</v>
      </c>
      <c r="F39" s="11">
        <f t="shared" si="1"/>
        <v>648</v>
      </c>
      <c r="G39" s="12">
        <f t="shared" ref="G39:H39" si="50">G38</f>
        <v>2170.269961</v>
      </c>
      <c r="H39" s="13">
        <f t="shared" si="50"/>
        <v>2505.365899</v>
      </c>
      <c r="L39" s="6" t="s">
        <v>64</v>
      </c>
      <c r="O39" s="6">
        <v>-6.8</v>
      </c>
      <c r="P39" s="12">
        <f t="shared" si="35"/>
        <v>1768.154836</v>
      </c>
      <c r="Q39" s="17">
        <f t="shared" si="36"/>
        <v>0</v>
      </c>
      <c r="R39" s="6">
        <f t="shared" si="37"/>
        <v>0.0005962004801</v>
      </c>
      <c r="T39" s="11">
        <f t="shared" si="38"/>
        <v>0</v>
      </c>
      <c r="U39" s="11">
        <f t="shared" si="39"/>
        <v>0.8242133695</v>
      </c>
    </row>
    <row r="40">
      <c r="A40" s="6">
        <v>2009.0</v>
      </c>
      <c r="B40" s="6" t="s">
        <v>16</v>
      </c>
      <c r="C40" s="10">
        <f t="shared" si="3"/>
        <v>39873</v>
      </c>
      <c r="D40" s="6">
        <v>1.0</v>
      </c>
      <c r="E40" s="6">
        <v>510.0</v>
      </c>
      <c r="F40" s="11">
        <f t="shared" si="1"/>
        <v>511</v>
      </c>
      <c r="G40" s="12">
        <f t="shared" ref="G40:H40" si="51">G39</f>
        <v>2170.269961</v>
      </c>
      <c r="H40" s="13">
        <f t="shared" si="51"/>
        <v>2505.365899</v>
      </c>
      <c r="L40" s="10">
        <v>38718.0</v>
      </c>
      <c r="M40" s="12">
        <f>N31-2*N34</f>
        <v>26043.23954</v>
      </c>
      <c r="N40" s="12">
        <f>N31+2*N34</f>
        <v>30064.39079</v>
      </c>
      <c r="O40" s="6">
        <v>-6.6</v>
      </c>
      <c r="P40" s="12">
        <f t="shared" si="35"/>
        <v>1784.909633</v>
      </c>
      <c r="Q40" s="17">
        <f t="shared" si="36"/>
        <v>0</v>
      </c>
      <c r="R40" s="6">
        <f t="shared" si="37"/>
        <v>0.0006072938689</v>
      </c>
      <c r="T40" s="11">
        <f t="shared" si="38"/>
        <v>0.0000000003475891281</v>
      </c>
      <c r="U40" s="11">
        <f t="shared" si="39"/>
        <v>0.8395493506</v>
      </c>
    </row>
    <row r="41">
      <c r="A41" s="6">
        <v>2009.0</v>
      </c>
      <c r="B41" s="6" t="s">
        <v>17</v>
      </c>
      <c r="C41" s="10">
        <f t="shared" si="3"/>
        <v>39904</v>
      </c>
      <c r="D41" s="6">
        <v>7.0</v>
      </c>
      <c r="E41" s="6">
        <v>514.0</v>
      </c>
      <c r="F41" s="11">
        <f t="shared" si="1"/>
        <v>521</v>
      </c>
      <c r="G41" s="12">
        <f t="shared" ref="G41:H41" si="52">G40</f>
        <v>2170.269961</v>
      </c>
      <c r="H41" s="13">
        <f t="shared" si="52"/>
        <v>2505.365899</v>
      </c>
      <c r="L41" s="10">
        <f>DATE(YEAR(L40),MONTH(L40)+1,1)</f>
        <v>38749</v>
      </c>
      <c r="M41" s="12">
        <f t="shared" ref="M41:N41" si="53">M40</f>
        <v>26043.23954</v>
      </c>
      <c r="N41" s="12">
        <f t="shared" si="53"/>
        <v>30064.39079</v>
      </c>
      <c r="O41" s="6">
        <v>-6.4</v>
      </c>
      <c r="P41" s="12">
        <f t="shared" si="35"/>
        <v>1801.66443</v>
      </c>
      <c r="Q41" s="17">
        <f t="shared" si="36"/>
        <v>0</v>
      </c>
      <c r="R41" s="6">
        <f t="shared" si="37"/>
        <v>0.0006180229048</v>
      </c>
      <c r="T41" s="11">
        <f t="shared" si="38"/>
        <v>0.00000000127540763</v>
      </c>
      <c r="U41" s="11">
        <f t="shared" si="39"/>
        <v>0.8543816346</v>
      </c>
    </row>
    <row r="42">
      <c r="A42" s="6">
        <v>2009.0</v>
      </c>
      <c r="B42" s="6" t="s">
        <v>18</v>
      </c>
      <c r="C42" s="10">
        <f t="shared" si="3"/>
        <v>39934</v>
      </c>
      <c r="D42" s="6">
        <v>16.0</v>
      </c>
      <c r="E42" s="6">
        <v>602.0</v>
      </c>
      <c r="F42" s="11">
        <f t="shared" si="1"/>
        <v>618</v>
      </c>
      <c r="G42" s="12">
        <f t="shared" ref="G42:H42" si="54">G41</f>
        <v>2170.269961</v>
      </c>
      <c r="H42" s="13">
        <f t="shared" si="54"/>
        <v>2505.365899</v>
      </c>
      <c r="O42" s="6">
        <v>-6.2</v>
      </c>
      <c r="P42" s="12">
        <f t="shared" si="35"/>
        <v>1818.419227</v>
      </c>
      <c r="Q42" s="17">
        <f t="shared" si="36"/>
        <v>0</v>
      </c>
      <c r="R42" s="6">
        <f t="shared" si="37"/>
        <v>0.0006283611769</v>
      </c>
      <c r="T42" s="11">
        <f t="shared" si="38"/>
        <v>0.000000004496349462</v>
      </c>
      <c r="U42" s="11">
        <f t="shared" si="39"/>
        <v>0.8686737097</v>
      </c>
    </row>
    <row r="43">
      <c r="A43" s="6">
        <v>2009.0</v>
      </c>
      <c r="B43" s="6" t="s">
        <v>24</v>
      </c>
      <c r="C43" s="10">
        <f t="shared" si="3"/>
        <v>39965</v>
      </c>
      <c r="D43" s="6">
        <v>6.0</v>
      </c>
      <c r="E43" s="11">
        <v>785.0</v>
      </c>
      <c r="F43" s="11">
        <f t="shared" si="1"/>
        <v>791</v>
      </c>
      <c r="G43" s="12">
        <f t="shared" ref="G43:H43" si="55">G42</f>
        <v>2170.269961</v>
      </c>
      <c r="H43" s="13">
        <f t="shared" si="55"/>
        <v>2505.365899</v>
      </c>
      <c r="O43" s="6">
        <v>-6.0</v>
      </c>
      <c r="P43" s="12">
        <f t="shared" si="35"/>
        <v>1835.174024</v>
      </c>
      <c r="Q43" s="17">
        <f t="shared" si="36"/>
        <v>0</v>
      </c>
      <c r="R43" s="6">
        <f t="shared" si="37"/>
        <v>0.0006382829111</v>
      </c>
      <c r="T43" s="11">
        <f t="shared" si="38"/>
        <v>0.00000001522997974</v>
      </c>
      <c r="U43" s="11">
        <f t="shared" si="39"/>
        <v>0.8823899449</v>
      </c>
    </row>
    <row r="44">
      <c r="A44" s="6">
        <v>2009.0</v>
      </c>
      <c r="B44" s="6" t="s">
        <v>25</v>
      </c>
      <c r="C44" s="10">
        <f t="shared" si="3"/>
        <v>39995</v>
      </c>
      <c r="D44" s="6">
        <v>98.0</v>
      </c>
      <c r="E44" s="11">
        <v>1186.0</v>
      </c>
      <c r="F44" s="11">
        <f t="shared" si="1"/>
        <v>1284</v>
      </c>
      <c r="G44" s="12">
        <f t="shared" ref="G44:H44" si="56">G43</f>
        <v>2170.269961</v>
      </c>
      <c r="H44" s="13">
        <f t="shared" si="56"/>
        <v>2505.365899</v>
      </c>
      <c r="O44" s="6">
        <v>-5.8</v>
      </c>
      <c r="P44" s="12">
        <f t="shared" si="35"/>
        <v>1851.928821</v>
      </c>
      <c r="Q44" s="17">
        <f t="shared" si="36"/>
        <v>0.000000000236030273</v>
      </c>
      <c r="R44" s="6">
        <f t="shared" si="37"/>
        <v>0.0006477630765</v>
      </c>
      <c r="T44" s="11">
        <f t="shared" si="38"/>
        <v>0.00000004956405319</v>
      </c>
      <c r="U44" s="11">
        <f t="shared" si="39"/>
        <v>0.8954957362</v>
      </c>
    </row>
    <row r="45">
      <c r="A45" s="6">
        <v>2009.0</v>
      </c>
      <c r="B45" s="6" t="s">
        <v>26</v>
      </c>
      <c r="C45" s="10">
        <f t="shared" si="3"/>
        <v>40026</v>
      </c>
      <c r="D45" s="6">
        <v>96.0</v>
      </c>
      <c r="E45" s="11">
        <v>1152.0</v>
      </c>
      <c r="F45" s="11">
        <f t="shared" si="1"/>
        <v>1248</v>
      </c>
      <c r="G45" s="12">
        <f t="shared" ref="G45:H45" si="57">G44</f>
        <v>2170.269961</v>
      </c>
      <c r="H45" s="13">
        <f t="shared" si="57"/>
        <v>2505.365899</v>
      </c>
      <c r="O45" s="6">
        <v>-5.6</v>
      </c>
      <c r="P45" s="12">
        <f t="shared" si="35"/>
        <v>1868.683617</v>
      </c>
      <c r="Q45" s="17">
        <f t="shared" si="36"/>
        <v>0.0000000007380119908</v>
      </c>
      <c r="R45" s="6">
        <f t="shared" si="37"/>
        <v>0.0006567774905</v>
      </c>
      <c r="T45" s="11">
        <f t="shared" si="38"/>
        <v>0.0000001549753136</v>
      </c>
      <c r="U45" s="11">
        <f t="shared" si="39"/>
        <v>0.9079576525</v>
      </c>
    </row>
    <row r="46">
      <c r="A46" s="6">
        <v>2009.0</v>
      </c>
      <c r="B46" s="6" t="s">
        <v>27</v>
      </c>
      <c r="C46" s="10">
        <f t="shared" si="3"/>
        <v>40057</v>
      </c>
      <c r="D46" s="6">
        <v>40.0</v>
      </c>
      <c r="E46" s="11">
        <v>1138.0</v>
      </c>
      <c r="F46" s="11">
        <f t="shared" si="1"/>
        <v>1178</v>
      </c>
      <c r="G46" s="12">
        <f t="shared" ref="G46:H46" si="58">G45</f>
        <v>2170.269961</v>
      </c>
      <c r="H46" s="13">
        <f t="shared" si="58"/>
        <v>2505.365899</v>
      </c>
      <c r="O46" s="6">
        <v>-5.4</v>
      </c>
      <c r="P46" s="12">
        <f t="shared" si="35"/>
        <v>1885.438414</v>
      </c>
      <c r="Q46" s="17">
        <f t="shared" si="36"/>
        <v>0.000000002217110548</v>
      </c>
      <c r="R46" s="6">
        <f t="shared" si="37"/>
        <v>0.0006653029208</v>
      </c>
      <c r="T46" s="11">
        <f t="shared" si="38"/>
        <v>0.0000004655715716</v>
      </c>
      <c r="U46" s="11">
        <f t="shared" si="39"/>
        <v>0.9197435768</v>
      </c>
    </row>
    <row r="47">
      <c r="A47" s="6">
        <v>2009.0</v>
      </c>
      <c r="B47" s="6" t="s">
        <v>28</v>
      </c>
      <c r="C47" s="10">
        <f t="shared" si="3"/>
        <v>40087</v>
      </c>
      <c r="D47" s="6">
        <v>55.0</v>
      </c>
      <c r="E47" s="11">
        <v>895.0</v>
      </c>
      <c r="F47" s="11">
        <f t="shared" si="1"/>
        <v>950</v>
      </c>
      <c r="G47" s="12">
        <f t="shared" ref="G47:H47" si="59">G46</f>
        <v>2170.269961</v>
      </c>
      <c r="H47" s="13">
        <f t="shared" si="59"/>
        <v>2505.365899</v>
      </c>
      <c r="O47" s="6">
        <v>-5.2</v>
      </c>
      <c r="P47" s="12">
        <f t="shared" si="35"/>
        <v>1902.193211</v>
      </c>
      <c r="Q47" s="17">
        <f t="shared" si="36"/>
        <v>0.000000006399403566</v>
      </c>
      <c r="R47" s="6">
        <f t="shared" si="37"/>
        <v>0.0006733171856</v>
      </c>
      <c r="T47" s="11">
        <f t="shared" si="38"/>
        <v>0.000001343812278</v>
      </c>
      <c r="U47" s="11">
        <f t="shared" si="39"/>
        <v>0.9308228435</v>
      </c>
    </row>
    <row r="48">
      <c r="A48" s="6">
        <v>2009.0</v>
      </c>
      <c r="B48" s="6" t="s">
        <v>29</v>
      </c>
      <c r="C48" s="10">
        <f t="shared" si="3"/>
        <v>40118</v>
      </c>
      <c r="D48" s="6">
        <v>46.0</v>
      </c>
      <c r="E48" s="11">
        <v>749.0</v>
      </c>
      <c r="F48" s="11">
        <f t="shared" si="1"/>
        <v>795</v>
      </c>
      <c r="G48" s="12">
        <f t="shared" ref="G48:H48" si="60">G47</f>
        <v>2170.269961</v>
      </c>
      <c r="H48" s="13">
        <f t="shared" si="60"/>
        <v>2505.365899</v>
      </c>
      <c r="O48" s="6">
        <v>-5.0</v>
      </c>
      <c r="P48" s="12">
        <f t="shared" si="35"/>
        <v>1918.948008</v>
      </c>
      <c r="Q48" s="17">
        <f t="shared" si="36"/>
        <v>0.00000001774679246</v>
      </c>
      <c r="R48" s="6">
        <f t="shared" si="37"/>
        <v>0.0006807992489</v>
      </c>
      <c r="T48" s="11">
        <f t="shared" si="38"/>
        <v>0.000003726653172</v>
      </c>
      <c r="U48" s="11">
        <f t="shared" si="39"/>
        <v>0.941166372</v>
      </c>
    </row>
    <row r="49">
      <c r="A49" s="6">
        <v>2009.0</v>
      </c>
      <c r="B49" s="6" t="s">
        <v>30</v>
      </c>
      <c r="C49" s="10">
        <f t="shared" si="3"/>
        <v>40148</v>
      </c>
      <c r="D49" s="6">
        <v>20.0</v>
      </c>
      <c r="E49" s="11">
        <v>540.0</v>
      </c>
      <c r="F49" s="11">
        <f t="shared" si="1"/>
        <v>560</v>
      </c>
      <c r="G49" s="12">
        <f t="shared" ref="G49:H49" si="61">G48</f>
        <v>2170.269961</v>
      </c>
      <c r="H49" s="13">
        <f t="shared" si="61"/>
        <v>2505.365899</v>
      </c>
      <c r="O49" s="6">
        <v>-4.8</v>
      </c>
      <c r="P49" s="12">
        <f t="shared" si="35"/>
        <v>1935.702805</v>
      </c>
      <c r="Q49" s="17">
        <f t="shared" si="36"/>
        <v>0.00000004728555195</v>
      </c>
      <c r="R49" s="6">
        <f t="shared" si="37"/>
        <v>0.000687729313</v>
      </c>
      <c r="T49" s="11">
        <f t="shared" si="38"/>
        <v>0.000009929504306</v>
      </c>
      <c r="U49" s="11">
        <f t="shared" si="39"/>
        <v>0.9507467927</v>
      </c>
    </row>
    <row r="50">
      <c r="A50" s="6">
        <v>2010.0</v>
      </c>
      <c r="B50" s="6" t="s">
        <v>14</v>
      </c>
      <c r="C50" s="10">
        <f t="shared" si="3"/>
        <v>40179</v>
      </c>
      <c r="D50" s="6">
        <v>131.0</v>
      </c>
      <c r="E50" s="11">
        <v>483.0</v>
      </c>
      <c r="F50" s="11">
        <f t="shared" si="1"/>
        <v>614</v>
      </c>
      <c r="G50" s="12">
        <f t="shared" ref="G50:H50" si="62">G49</f>
        <v>2170.269961</v>
      </c>
      <c r="H50" s="13">
        <f t="shared" si="62"/>
        <v>2505.365899</v>
      </c>
      <c r="O50" s="6">
        <v>-4.6</v>
      </c>
      <c r="P50" s="12">
        <f t="shared" si="35"/>
        <v>1952.457602</v>
      </c>
      <c r="Q50" s="17">
        <f t="shared" si="36"/>
        <v>0.0000001210501343</v>
      </c>
      <c r="R50" s="6">
        <f t="shared" si="37"/>
        <v>0.0006940889053</v>
      </c>
      <c r="T50" s="11">
        <f t="shared" si="38"/>
        <v>0.00002541934652</v>
      </c>
      <c r="U50" s="11">
        <f t="shared" si="39"/>
        <v>0.9595385686</v>
      </c>
    </row>
    <row r="51">
      <c r="A51" s="6">
        <v>2010.0</v>
      </c>
      <c r="B51" s="6" t="s">
        <v>15</v>
      </c>
      <c r="C51" s="10">
        <f t="shared" si="3"/>
        <v>40210</v>
      </c>
      <c r="D51" s="6">
        <v>95.0</v>
      </c>
      <c r="E51" s="11">
        <v>415.0</v>
      </c>
      <c r="F51" s="11">
        <f t="shared" si="1"/>
        <v>510</v>
      </c>
      <c r="G51" s="12">
        <f t="shared" ref="G51:H51" si="63">G50</f>
        <v>2170.269961</v>
      </c>
      <c r="H51" s="13">
        <f t="shared" si="63"/>
        <v>2505.365899</v>
      </c>
      <c r="O51" s="6">
        <v>-4.4</v>
      </c>
      <c r="P51" s="12">
        <f t="shared" si="35"/>
        <v>1969.212399</v>
      </c>
      <c r="Q51" s="17">
        <f t="shared" si="36"/>
        <v>0.000000297735287</v>
      </c>
      <c r="R51" s="6">
        <f t="shared" si="37"/>
        <v>0.0006998609605</v>
      </c>
      <c r="T51" s="11">
        <f t="shared" si="38"/>
        <v>0.00006252150377</v>
      </c>
      <c r="U51" s="11">
        <f t="shared" si="39"/>
        <v>0.9675181078</v>
      </c>
    </row>
    <row r="52">
      <c r="A52" s="6">
        <v>2010.0</v>
      </c>
      <c r="B52" s="6" t="s">
        <v>16</v>
      </c>
      <c r="C52" s="10">
        <f t="shared" si="3"/>
        <v>40238</v>
      </c>
      <c r="D52" s="6">
        <v>15.0</v>
      </c>
      <c r="E52" s="11">
        <v>675.0</v>
      </c>
      <c r="F52" s="11">
        <f t="shared" si="1"/>
        <v>690</v>
      </c>
      <c r="G52" s="12">
        <f t="shared" ref="G52:H52" si="64">G51</f>
        <v>2170.269961</v>
      </c>
      <c r="H52" s="13">
        <f t="shared" si="64"/>
        <v>2505.365899</v>
      </c>
      <c r="O52" s="6">
        <v>-4.2</v>
      </c>
      <c r="P52" s="12">
        <f t="shared" si="35"/>
        <v>1985.967196</v>
      </c>
      <c r="Q52" s="17">
        <f t="shared" si="36"/>
        <v>0.0000007035963275</v>
      </c>
      <c r="R52" s="6">
        <f t="shared" si="37"/>
        <v>0.0007050298968</v>
      </c>
      <c r="T52" s="11">
        <f t="shared" si="38"/>
        <v>0.0001477483602</v>
      </c>
      <c r="U52" s="11">
        <f t="shared" si="39"/>
        <v>0.9746638692</v>
      </c>
    </row>
    <row r="53">
      <c r="A53" s="6">
        <v>2010.0</v>
      </c>
      <c r="B53" s="6" t="s">
        <v>17</v>
      </c>
      <c r="C53" s="10">
        <f t="shared" si="3"/>
        <v>40269</v>
      </c>
      <c r="D53" s="6">
        <v>19.0</v>
      </c>
      <c r="E53" s="11">
        <v>745.0</v>
      </c>
      <c r="F53" s="11">
        <f t="shared" si="1"/>
        <v>764</v>
      </c>
      <c r="G53" s="12">
        <f t="shared" ref="G53:H53" si="65">G52</f>
        <v>2170.269961</v>
      </c>
      <c r="H53" s="13">
        <f t="shared" si="65"/>
        <v>2505.365899</v>
      </c>
      <c r="O53" s="6">
        <v>-4.0</v>
      </c>
      <c r="P53" s="12">
        <f t="shared" si="35"/>
        <v>2002.721993</v>
      </c>
      <c r="Q53" s="17">
        <f t="shared" si="36"/>
        <v>0.000001597515347</v>
      </c>
      <c r="R53" s="6">
        <f t="shared" si="37"/>
        <v>0.0007095816859</v>
      </c>
      <c r="T53" s="11">
        <f t="shared" si="38"/>
        <v>0.0003354626279</v>
      </c>
      <c r="U53" s="11">
        <f t="shared" si="39"/>
        <v>0.9809564597</v>
      </c>
    </row>
    <row r="54">
      <c r="A54" s="6">
        <v>2010.0</v>
      </c>
      <c r="B54" s="6" t="s">
        <v>18</v>
      </c>
      <c r="C54" s="10">
        <f t="shared" si="3"/>
        <v>40299</v>
      </c>
      <c r="D54" s="6">
        <v>27.0</v>
      </c>
      <c r="E54" s="11">
        <v>796.0</v>
      </c>
      <c r="F54" s="11">
        <f t="shared" si="1"/>
        <v>823</v>
      </c>
      <c r="G54" s="12">
        <f t="shared" ref="G54:H54" si="66">G53</f>
        <v>2170.269961</v>
      </c>
      <c r="H54" s="13">
        <f t="shared" si="66"/>
        <v>2505.365899</v>
      </c>
      <c r="O54" s="6">
        <v>-3.8</v>
      </c>
      <c r="P54" s="12">
        <f t="shared" si="35"/>
        <v>2019.476789</v>
      </c>
      <c r="Q54" s="17">
        <f t="shared" si="36"/>
        <v>0.000003484935424</v>
      </c>
      <c r="R54" s="6">
        <f t="shared" si="37"/>
        <v>0.0007135039167</v>
      </c>
      <c r="T54" s="11">
        <f t="shared" si="38"/>
        <v>0.0007318024189</v>
      </c>
      <c r="U54" s="11">
        <f t="shared" si="39"/>
        <v>0.9863787214</v>
      </c>
    </row>
    <row r="55">
      <c r="A55" s="6">
        <v>2010.0</v>
      </c>
      <c r="B55" s="6" t="s">
        <v>24</v>
      </c>
      <c r="C55" s="10">
        <f t="shared" si="3"/>
        <v>40330</v>
      </c>
      <c r="D55" s="6">
        <v>60.0</v>
      </c>
      <c r="E55" s="11">
        <v>975.0</v>
      </c>
      <c r="F55" s="11">
        <f t="shared" si="1"/>
        <v>1035</v>
      </c>
      <c r="G55" s="12">
        <f t="shared" ref="G55:H55" si="67">G54</f>
        <v>2170.269961</v>
      </c>
      <c r="H55" s="13">
        <f t="shared" si="67"/>
        <v>2505.365899</v>
      </c>
      <c r="O55" s="6">
        <v>-3.6</v>
      </c>
      <c r="P55" s="12">
        <f t="shared" si="35"/>
        <v>2036.231586</v>
      </c>
      <c r="Q55" s="17">
        <f t="shared" si="36"/>
        <v>0.00000730419992</v>
      </c>
      <c r="R55" s="6">
        <f t="shared" si="37"/>
        <v>0.0007167858513</v>
      </c>
      <c r="T55" s="11">
        <f t="shared" si="38"/>
        <v>0.001533810679</v>
      </c>
      <c r="U55" s="11">
        <f t="shared" si="39"/>
        <v>0.99091581</v>
      </c>
    </row>
    <row r="56">
      <c r="A56" s="6">
        <v>2010.0</v>
      </c>
      <c r="B56" s="6" t="s">
        <v>25</v>
      </c>
      <c r="C56" s="10">
        <f t="shared" si="3"/>
        <v>40360</v>
      </c>
      <c r="D56" s="6">
        <v>47.0</v>
      </c>
      <c r="E56" s="11">
        <v>953.0</v>
      </c>
      <c r="F56" s="11">
        <f t="shared" si="1"/>
        <v>1000</v>
      </c>
      <c r="G56" s="12">
        <f t="shared" ref="G56:H56" si="68">G55</f>
        <v>2170.269961</v>
      </c>
      <c r="H56" s="13">
        <f t="shared" si="68"/>
        <v>2505.365899</v>
      </c>
      <c r="O56" s="6">
        <v>-3.4</v>
      </c>
      <c r="P56" s="12">
        <f t="shared" si="35"/>
        <v>2052.986383</v>
      </c>
      <c r="Q56" s="17">
        <f t="shared" si="36"/>
        <v>0.00001470885237</v>
      </c>
      <c r="R56" s="6">
        <f t="shared" si="37"/>
        <v>0.0007194184742</v>
      </c>
      <c r="T56" s="11">
        <f t="shared" si="38"/>
        <v>0.003088715408</v>
      </c>
      <c r="U56" s="11">
        <f t="shared" si="39"/>
        <v>0.9945552619</v>
      </c>
    </row>
    <row r="57">
      <c r="A57" s="6">
        <v>2010.0</v>
      </c>
      <c r="B57" s="6" t="s">
        <v>26</v>
      </c>
      <c r="C57" s="10">
        <f t="shared" si="3"/>
        <v>40391</v>
      </c>
      <c r="D57" s="6">
        <v>74.0</v>
      </c>
      <c r="E57" s="11">
        <v>957.0</v>
      </c>
      <c r="F57" s="11">
        <f t="shared" si="1"/>
        <v>1031</v>
      </c>
      <c r="G57" s="12">
        <f t="shared" ref="G57:H57" si="69">G56</f>
        <v>2170.269961</v>
      </c>
      <c r="H57" s="13">
        <f t="shared" si="69"/>
        <v>2505.365899</v>
      </c>
      <c r="O57" s="6">
        <v>-3.2</v>
      </c>
      <c r="P57" s="12">
        <f t="shared" si="35"/>
        <v>2069.74118</v>
      </c>
      <c r="Q57" s="17">
        <f t="shared" si="36"/>
        <v>0.0000284585748</v>
      </c>
      <c r="R57" s="6">
        <f t="shared" si="37"/>
        <v>0.0007213945335</v>
      </c>
      <c r="T57" s="11">
        <f t="shared" si="38"/>
        <v>0.005976022895</v>
      </c>
      <c r="U57" s="11">
        <f t="shared" si="39"/>
        <v>0.9972870518</v>
      </c>
    </row>
    <row r="58">
      <c r="A58" s="6">
        <v>2010.0</v>
      </c>
      <c r="B58" s="6" t="s">
        <v>27</v>
      </c>
      <c r="C58" s="10">
        <f t="shared" si="3"/>
        <v>40422</v>
      </c>
      <c r="D58" s="6">
        <v>52.0</v>
      </c>
      <c r="E58" s="11">
        <v>958.0</v>
      </c>
      <c r="F58" s="11">
        <f t="shared" si="1"/>
        <v>1010</v>
      </c>
      <c r="G58" s="12">
        <f t="shared" ref="G58:H58" si="70">G57</f>
        <v>2170.269961</v>
      </c>
      <c r="H58" s="13">
        <f t="shared" si="70"/>
        <v>2505.365899</v>
      </c>
      <c r="O58" s="6">
        <v>-3.0</v>
      </c>
      <c r="P58" s="12">
        <f t="shared" si="35"/>
        <v>2086.495977</v>
      </c>
      <c r="Q58" s="17">
        <f t="shared" si="36"/>
        <v>0.00005290244273</v>
      </c>
      <c r="R58" s="6">
        <f t="shared" si="37"/>
        <v>0.0007227085742</v>
      </c>
      <c r="T58" s="11">
        <f t="shared" si="38"/>
        <v>0.01110899654</v>
      </c>
      <c r="U58" s="11">
        <f t="shared" si="39"/>
        <v>0.9991036387</v>
      </c>
    </row>
    <row r="59">
      <c r="A59" s="6">
        <v>2010.0</v>
      </c>
      <c r="B59" s="6" t="s">
        <v>28</v>
      </c>
      <c r="C59" s="10">
        <f t="shared" si="3"/>
        <v>40452</v>
      </c>
      <c r="D59" s="6">
        <v>108.0</v>
      </c>
      <c r="E59" s="11">
        <v>897.0</v>
      </c>
      <c r="F59" s="11">
        <f t="shared" si="1"/>
        <v>1005</v>
      </c>
      <c r="G59" s="12">
        <f t="shared" ref="G59:H59" si="71">G58</f>
        <v>2170.269961</v>
      </c>
      <c r="H59" s="13">
        <f t="shared" si="71"/>
        <v>2505.365899</v>
      </c>
      <c r="O59" s="6">
        <v>-2.8</v>
      </c>
      <c r="P59" s="12">
        <f t="shared" si="35"/>
        <v>2103.250774</v>
      </c>
      <c r="Q59" s="17">
        <f t="shared" si="36"/>
        <v>0.0000944857958</v>
      </c>
      <c r="R59" s="6">
        <f t="shared" si="37"/>
        <v>0.0007233569634</v>
      </c>
      <c r="T59" s="11">
        <f t="shared" si="38"/>
        <v>0.01984109474</v>
      </c>
      <c r="U59" s="11">
        <f t="shared" si="39"/>
        <v>1</v>
      </c>
    </row>
    <row r="60">
      <c r="A60" s="6">
        <v>2010.0</v>
      </c>
      <c r="B60" s="6" t="s">
        <v>29</v>
      </c>
      <c r="C60" s="10">
        <f t="shared" si="3"/>
        <v>40483</v>
      </c>
      <c r="D60" s="6">
        <v>85.0</v>
      </c>
      <c r="E60" s="11">
        <v>796.0</v>
      </c>
      <c r="F60" s="11">
        <f t="shared" si="1"/>
        <v>881</v>
      </c>
      <c r="G60" s="12">
        <f t="shared" ref="G60:H60" si="72">G59</f>
        <v>2170.269961</v>
      </c>
      <c r="H60" s="13">
        <f t="shared" si="72"/>
        <v>2505.365899</v>
      </c>
      <c r="O60" s="6">
        <v>-2.6</v>
      </c>
      <c r="P60" s="12">
        <f t="shared" si="35"/>
        <v>2120.005571</v>
      </c>
      <c r="Q60" s="17">
        <f t="shared" si="36"/>
        <v>0.000162138274</v>
      </c>
      <c r="R60" s="6">
        <f t="shared" si="37"/>
        <v>0.0007233379068</v>
      </c>
      <c r="T60" s="11">
        <f t="shared" si="38"/>
        <v>0.03404745473</v>
      </c>
      <c r="U60" s="11">
        <f t="shared" si="39"/>
        <v>0.9999736554</v>
      </c>
    </row>
    <row r="61">
      <c r="A61" s="6">
        <v>2010.0</v>
      </c>
      <c r="B61" s="6" t="s">
        <v>30</v>
      </c>
      <c r="C61" s="10">
        <f t="shared" si="3"/>
        <v>40513</v>
      </c>
      <c r="D61" s="6">
        <v>21.0</v>
      </c>
      <c r="E61" s="11">
        <v>640.0</v>
      </c>
      <c r="F61" s="11">
        <f t="shared" si="1"/>
        <v>661</v>
      </c>
      <c r="G61" s="12">
        <f t="shared" ref="G61:H61" si="73">G60</f>
        <v>2170.269961</v>
      </c>
      <c r="H61" s="13">
        <f t="shared" si="73"/>
        <v>2505.365899</v>
      </c>
      <c r="O61" s="6">
        <v>-2.4</v>
      </c>
      <c r="P61" s="12">
        <f t="shared" si="35"/>
        <v>2136.760368</v>
      </c>
      <c r="Q61" s="17">
        <f t="shared" si="36"/>
        <v>0.0002673208211</v>
      </c>
      <c r="R61" s="6">
        <f t="shared" si="37"/>
        <v>0.0007226514572</v>
      </c>
      <c r="T61" s="11">
        <f t="shared" si="38"/>
        <v>0.05613476283</v>
      </c>
      <c r="U61" s="11">
        <f t="shared" si="39"/>
        <v>0.9990246777</v>
      </c>
    </row>
    <row r="62">
      <c r="A62" s="6">
        <v>2011.0</v>
      </c>
      <c r="B62" s="6" t="s">
        <v>14</v>
      </c>
      <c r="C62" s="10">
        <f t="shared" si="3"/>
        <v>40544</v>
      </c>
      <c r="D62" s="6">
        <v>26.0</v>
      </c>
      <c r="E62" s="11">
        <v>407.0</v>
      </c>
      <c r="F62" s="11">
        <f t="shared" si="1"/>
        <v>433</v>
      </c>
      <c r="G62" s="12">
        <f t="shared" ref="G62:H62" si="74">G61</f>
        <v>2170.269961</v>
      </c>
      <c r="H62" s="13">
        <f t="shared" si="74"/>
        <v>2505.365899</v>
      </c>
      <c r="O62" s="6">
        <v>-2.2</v>
      </c>
      <c r="P62" s="12">
        <f t="shared" si="35"/>
        <v>2153.515164</v>
      </c>
      <c r="Q62" s="17">
        <f t="shared" si="36"/>
        <v>0.0004234559584</v>
      </c>
      <c r="R62" s="6">
        <f t="shared" si="37"/>
        <v>0.0007212995141</v>
      </c>
      <c r="T62" s="11">
        <f t="shared" si="38"/>
        <v>0.08892161746</v>
      </c>
      <c r="U62" s="11">
        <f t="shared" si="39"/>
        <v>0.997155693</v>
      </c>
    </row>
    <row r="63">
      <c r="A63" s="6">
        <v>2011.0</v>
      </c>
      <c r="B63" s="6" t="s">
        <v>15</v>
      </c>
      <c r="C63" s="10">
        <f t="shared" si="3"/>
        <v>40575</v>
      </c>
      <c r="D63" s="6">
        <v>54.0</v>
      </c>
      <c r="E63" s="11">
        <v>453.0</v>
      </c>
      <c r="F63" s="11">
        <f t="shared" si="1"/>
        <v>507</v>
      </c>
      <c r="G63" s="12">
        <f t="shared" ref="G63:H63" si="75">G62</f>
        <v>2170.269961</v>
      </c>
      <c r="H63" s="13">
        <f t="shared" si="75"/>
        <v>2505.365899</v>
      </c>
      <c r="O63" s="6">
        <v>-2.0</v>
      </c>
      <c r="P63" s="12">
        <f t="shared" si="35"/>
        <v>2170.269961</v>
      </c>
      <c r="Q63" s="17">
        <f t="shared" si="36"/>
        <v>0.0006444836891</v>
      </c>
      <c r="R63" s="6">
        <f t="shared" si="37"/>
        <v>0.000719285815</v>
      </c>
      <c r="T63" s="11">
        <f t="shared" si="38"/>
        <v>0.1353352832</v>
      </c>
      <c r="U63" s="11">
        <f t="shared" si="39"/>
        <v>0.994371868</v>
      </c>
    </row>
    <row r="64">
      <c r="A64" s="6">
        <v>2011.0</v>
      </c>
      <c r="B64" s="6" t="s">
        <v>16</v>
      </c>
      <c r="C64" s="10">
        <f t="shared" si="3"/>
        <v>40603</v>
      </c>
      <c r="D64" s="6">
        <v>66.0</v>
      </c>
      <c r="E64" s="11">
        <v>687.0</v>
      </c>
      <c r="F64" s="11">
        <f t="shared" si="1"/>
        <v>753</v>
      </c>
      <c r="G64" s="12">
        <f t="shared" ref="G64:H64" si="76">G63</f>
        <v>2170.269961</v>
      </c>
      <c r="H64" s="13">
        <f t="shared" si="76"/>
        <v>2505.365899</v>
      </c>
      <c r="O64" s="6">
        <v>-1.8</v>
      </c>
      <c r="P64" s="12">
        <f t="shared" si="35"/>
        <v>2187.024758</v>
      </c>
      <c r="Q64" s="17">
        <f t="shared" si="36"/>
        <v>0.0009424185667</v>
      </c>
      <c r="R64" s="6">
        <f t="shared" si="37"/>
        <v>0.0007166159181</v>
      </c>
      <c r="T64" s="11">
        <f t="shared" si="38"/>
        <v>0.1978986991</v>
      </c>
      <c r="U64" s="11">
        <f t="shared" si="39"/>
        <v>0.9906808869</v>
      </c>
    </row>
    <row r="65">
      <c r="A65" s="6">
        <v>2011.0</v>
      </c>
      <c r="B65" s="6" t="s">
        <v>17</v>
      </c>
      <c r="C65" s="10">
        <f t="shared" si="3"/>
        <v>40634</v>
      </c>
      <c r="D65" s="6">
        <v>79.0</v>
      </c>
      <c r="E65" s="11">
        <v>770.0</v>
      </c>
      <c r="F65" s="11">
        <f t="shared" si="1"/>
        <v>849</v>
      </c>
      <c r="G65" s="12">
        <f t="shared" ref="G65:H65" si="77">G64</f>
        <v>2170.269961</v>
      </c>
      <c r="H65" s="13">
        <f t="shared" si="77"/>
        <v>2505.365899</v>
      </c>
      <c r="O65" s="6">
        <v>-1.6</v>
      </c>
      <c r="P65" s="12">
        <f t="shared" si="35"/>
        <v>2203.779555</v>
      </c>
      <c r="Q65" s="17">
        <f t="shared" si="36"/>
        <v>0.001324048695</v>
      </c>
      <c r="R65" s="6">
        <f t="shared" si="37"/>
        <v>0.000713297177</v>
      </c>
      <c r="T65" s="11">
        <f t="shared" si="38"/>
        <v>0.2780373005</v>
      </c>
      <c r="U65" s="11">
        <f t="shared" si="39"/>
        <v>0.9860929155</v>
      </c>
    </row>
    <row r="66">
      <c r="A66" s="6">
        <v>2011.0</v>
      </c>
      <c r="B66" s="6" t="s">
        <v>18</v>
      </c>
      <c r="C66" s="10">
        <f t="shared" si="3"/>
        <v>40664</v>
      </c>
      <c r="D66" s="6">
        <v>144.0</v>
      </c>
      <c r="E66" s="11">
        <v>741.0</v>
      </c>
      <c r="F66" s="11">
        <f t="shared" si="1"/>
        <v>885</v>
      </c>
      <c r="G66" s="12">
        <f t="shared" ref="G66:H66" si="78">G65</f>
        <v>2170.269961</v>
      </c>
      <c r="H66" s="13">
        <f t="shared" si="78"/>
        <v>2505.365899</v>
      </c>
      <c r="O66" s="6">
        <v>-1.4</v>
      </c>
      <c r="P66" s="12">
        <f t="shared" si="35"/>
        <v>2220.534352</v>
      </c>
      <c r="Q66" s="17">
        <f t="shared" si="36"/>
        <v>0.001787278792</v>
      </c>
      <c r="R66" s="6">
        <f t="shared" si="37"/>
        <v>0.0007093387067</v>
      </c>
      <c r="T66" s="11">
        <f t="shared" si="38"/>
        <v>0.3753110989</v>
      </c>
      <c r="U66" s="11">
        <f t="shared" si="39"/>
        <v>0.9806205546</v>
      </c>
    </row>
    <row r="67">
      <c r="A67" s="6">
        <v>2011.0</v>
      </c>
      <c r="B67" s="6" t="s">
        <v>24</v>
      </c>
      <c r="C67" s="10">
        <f t="shared" si="3"/>
        <v>40695</v>
      </c>
      <c r="D67" s="6">
        <v>90.0</v>
      </c>
      <c r="E67" s="11">
        <v>1032.0</v>
      </c>
      <c r="F67" s="11">
        <f t="shared" si="1"/>
        <v>1122</v>
      </c>
      <c r="G67" s="12">
        <f t="shared" ref="G67:H67" si="79">G66</f>
        <v>2170.269961</v>
      </c>
      <c r="H67" s="13">
        <f t="shared" si="79"/>
        <v>2505.365899</v>
      </c>
      <c r="O67" s="6">
        <v>-1.2</v>
      </c>
      <c r="P67" s="12">
        <f t="shared" si="35"/>
        <v>2237.289149</v>
      </c>
      <c r="Q67" s="17">
        <f t="shared" si="36"/>
        <v>0.002317975639</v>
      </c>
      <c r="R67" s="6">
        <f t="shared" si="37"/>
        <v>0.0007047513419</v>
      </c>
      <c r="T67" s="11">
        <f t="shared" si="38"/>
        <v>0.486752256</v>
      </c>
      <c r="U67" s="11">
        <f t="shared" si="39"/>
        <v>0.9742787828</v>
      </c>
    </row>
    <row r="68">
      <c r="A68" s="6">
        <v>2011.0</v>
      </c>
      <c r="B68" s="6" t="s">
        <v>25</v>
      </c>
      <c r="C68" s="10">
        <f t="shared" si="3"/>
        <v>40725</v>
      </c>
      <c r="D68" s="6">
        <v>73.0</v>
      </c>
      <c r="E68" s="11">
        <v>896.0</v>
      </c>
      <c r="F68" s="11">
        <f t="shared" si="1"/>
        <v>969</v>
      </c>
      <c r="G68" s="12">
        <f t="shared" ref="G68:H68" si="80">G67</f>
        <v>2170.269961</v>
      </c>
      <c r="H68" s="13">
        <f t="shared" si="80"/>
        <v>2505.365899</v>
      </c>
      <c r="O68" s="6">
        <v>-1.0</v>
      </c>
      <c r="P68" s="12">
        <f t="shared" si="35"/>
        <v>2254.043946</v>
      </c>
      <c r="Q68" s="17">
        <f t="shared" si="36"/>
        <v>0.002888375506</v>
      </c>
      <c r="R68" s="6">
        <f t="shared" si="37"/>
        <v>0.0006995475877</v>
      </c>
      <c r="T68" s="11">
        <f t="shared" si="38"/>
        <v>0.6065306597</v>
      </c>
      <c r="U68" s="11">
        <f t="shared" si="39"/>
        <v>0.9670848876</v>
      </c>
    </row>
    <row r="69">
      <c r="A69" s="6">
        <v>2011.0</v>
      </c>
      <c r="B69" s="6" t="s">
        <v>26</v>
      </c>
      <c r="C69" s="10">
        <f t="shared" si="3"/>
        <v>40756</v>
      </c>
      <c r="D69" s="6">
        <v>65.0</v>
      </c>
      <c r="E69" s="11">
        <v>1021.0</v>
      </c>
      <c r="F69" s="11">
        <f t="shared" si="1"/>
        <v>1086</v>
      </c>
      <c r="G69" s="12">
        <f t="shared" ref="G69:H69" si="81">G68</f>
        <v>2170.269961</v>
      </c>
      <c r="H69" s="13">
        <f t="shared" si="81"/>
        <v>2505.365899</v>
      </c>
      <c r="O69" s="6">
        <v>-0.8</v>
      </c>
      <c r="P69" s="12">
        <f t="shared" si="35"/>
        <v>2270.798743</v>
      </c>
      <c r="Q69" s="17">
        <f t="shared" si="36"/>
        <v>0.003458013306</v>
      </c>
      <c r="R69" s="6">
        <f t="shared" si="37"/>
        <v>0.0006937415628</v>
      </c>
      <c r="T69" s="11">
        <f t="shared" si="38"/>
        <v>0.7261490371</v>
      </c>
      <c r="U69" s="11">
        <f t="shared" si="39"/>
        <v>0.9590583874</v>
      </c>
    </row>
    <row r="70">
      <c r="A70" s="6">
        <v>2011.0</v>
      </c>
      <c r="B70" s="6" t="s">
        <v>27</v>
      </c>
      <c r="C70" s="10">
        <f t="shared" si="3"/>
        <v>40787</v>
      </c>
      <c r="D70" s="6">
        <v>72.0</v>
      </c>
      <c r="E70" s="11">
        <v>927.0</v>
      </c>
      <c r="F70" s="11">
        <f t="shared" si="1"/>
        <v>999</v>
      </c>
      <c r="G70" s="12">
        <f t="shared" ref="G70:H70" si="82">G69</f>
        <v>2170.269961</v>
      </c>
      <c r="H70" s="13">
        <f t="shared" si="82"/>
        <v>2505.365899</v>
      </c>
      <c r="O70" s="6">
        <v>-0.6</v>
      </c>
      <c r="P70" s="12">
        <f t="shared" si="35"/>
        <v>2287.553539</v>
      </c>
      <c r="Q70" s="17">
        <f t="shared" si="36"/>
        <v>0.003977662102</v>
      </c>
      <c r="R70" s="6">
        <f t="shared" si="37"/>
        <v>0.0006873489357</v>
      </c>
      <c r="T70" s="11">
        <f t="shared" si="38"/>
        <v>0.8352702114</v>
      </c>
      <c r="U70" s="11">
        <f t="shared" si="39"/>
        <v>0.9502209428</v>
      </c>
    </row>
    <row r="71">
      <c r="A71" s="6">
        <v>2011.0</v>
      </c>
      <c r="B71" s="6" t="s">
        <v>28</v>
      </c>
      <c r="C71" s="10">
        <f t="shared" si="3"/>
        <v>40817</v>
      </c>
      <c r="D71" s="6">
        <v>79.0</v>
      </c>
      <c r="E71" s="11">
        <v>859.0</v>
      </c>
      <c r="F71" s="11">
        <f t="shared" si="1"/>
        <v>938</v>
      </c>
      <c r="G71" s="12">
        <f t="shared" ref="G71:H71" si="83">G70</f>
        <v>2170.269961</v>
      </c>
      <c r="H71" s="13">
        <f t="shared" si="83"/>
        <v>2505.365899</v>
      </c>
      <c r="O71" s="6">
        <v>-0.4</v>
      </c>
      <c r="P71" s="12">
        <f t="shared" si="35"/>
        <v>2304.308336</v>
      </c>
      <c r="Q71" s="17">
        <f t="shared" si="36"/>
        <v>0.004395996478</v>
      </c>
      <c r="R71" s="6">
        <f t="shared" si="37"/>
        <v>0.0006803868541</v>
      </c>
      <c r="T71" s="11">
        <f t="shared" si="38"/>
        <v>0.9231163464</v>
      </c>
      <c r="U71" s="11">
        <f t="shared" si="39"/>
        <v>0.9405962595</v>
      </c>
    </row>
    <row r="72">
      <c r="A72" s="6">
        <v>2011.0</v>
      </c>
      <c r="B72" s="6" t="s">
        <v>29</v>
      </c>
      <c r="C72" s="10">
        <f t="shared" si="3"/>
        <v>40848</v>
      </c>
      <c r="D72" s="6">
        <v>112.0</v>
      </c>
      <c r="E72" s="11">
        <v>845.0</v>
      </c>
      <c r="F72" s="11">
        <f t="shared" si="1"/>
        <v>957</v>
      </c>
      <c r="G72" s="12">
        <f t="shared" ref="G72:H72" si="84">G71</f>
        <v>2170.269961</v>
      </c>
      <c r="H72" s="13">
        <f t="shared" si="84"/>
        <v>2505.365899</v>
      </c>
      <c r="O72" s="6">
        <v>-0.2</v>
      </c>
      <c r="P72" s="12">
        <f t="shared" si="35"/>
        <v>2321.063133</v>
      </c>
      <c r="Q72" s="17">
        <f t="shared" si="36"/>
        <v>0.004667829718</v>
      </c>
      <c r="R72" s="6">
        <f t="shared" si="37"/>
        <v>0.0006728738684</v>
      </c>
      <c r="T72" s="11">
        <f t="shared" si="38"/>
        <v>0.9801986733</v>
      </c>
      <c r="U72" s="11">
        <f t="shared" si="39"/>
        <v>0.9302099827</v>
      </c>
    </row>
    <row r="73">
      <c r="A73" s="6">
        <v>2011.0</v>
      </c>
      <c r="B73" s="6" t="s">
        <v>30</v>
      </c>
      <c r="C73" s="10">
        <f t="shared" si="3"/>
        <v>40878</v>
      </c>
      <c r="D73" s="6">
        <v>118.0</v>
      </c>
      <c r="E73" s="11">
        <v>700.0</v>
      </c>
      <c r="F73" s="11">
        <f t="shared" si="1"/>
        <v>818</v>
      </c>
      <c r="G73" s="12">
        <f t="shared" ref="G73:H73" si="85">G72</f>
        <v>2170.269961</v>
      </c>
      <c r="H73" s="13">
        <f t="shared" si="85"/>
        <v>2505.365899</v>
      </c>
      <c r="O73" s="6">
        <v>0.0</v>
      </c>
      <c r="P73" s="12">
        <f t="shared" si="35"/>
        <v>2337.81793</v>
      </c>
      <c r="Q73" s="17">
        <f t="shared" si="36"/>
        <v>0.004762126134</v>
      </c>
      <c r="R73" s="6">
        <f t="shared" si="37"/>
        <v>0.0006648298495</v>
      </c>
      <c r="T73" s="11">
        <f t="shared" si="38"/>
        <v>1</v>
      </c>
      <c r="U73" s="11">
        <f t="shared" si="39"/>
        <v>0.9190895825</v>
      </c>
    </row>
    <row r="74">
      <c r="A74" s="6">
        <v>2012.0</v>
      </c>
      <c r="B74" s="6" t="s">
        <v>14</v>
      </c>
      <c r="C74" s="10">
        <f t="shared" si="3"/>
        <v>40909</v>
      </c>
      <c r="D74" s="6">
        <v>224.0</v>
      </c>
      <c r="E74" s="11">
        <v>758.0</v>
      </c>
      <c r="F74" s="11">
        <f t="shared" si="1"/>
        <v>982</v>
      </c>
      <c r="G74" s="12">
        <f t="shared" ref="G74:H74" si="86">G73</f>
        <v>2170.269961</v>
      </c>
      <c r="H74" s="13">
        <f t="shared" si="86"/>
        <v>2505.365899</v>
      </c>
      <c r="O74" s="6">
        <v>0.2</v>
      </c>
      <c r="P74" s="12">
        <f t="shared" si="35"/>
        <v>2354.572727</v>
      </c>
      <c r="Q74" s="17">
        <f t="shared" si="36"/>
        <v>0.004667829718</v>
      </c>
      <c r="R74" s="6">
        <f t="shared" si="37"/>
        <v>0.0006562759012</v>
      </c>
      <c r="T74" s="11">
        <f t="shared" si="38"/>
        <v>0.9801986733</v>
      </c>
      <c r="U74" s="11">
        <f t="shared" si="39"/>
        <v>0.9072642339</v>
      </c>
    </row>
    <row r="75">
      <c r="A75" s="6">
        <v>2012.0</v>
      </c>
      <c r="B75" s="6" t="s">
        <v>15</v>
      </c>
      <c r="C75" s="10">
        <f t="shared" si="3"/>
        <v>40940</v>
      </c>
      <c r="D75" s="6">
        <v>132.0</v>
      </c>
      <c r="E75" s="11">
        <v>533.0</v>
      </c>
      <c r="F75" s="11">
        <f t="shared" si="1"/>
        <v>665</v>
      </c>
      <c r="G75" s="12">
        <f t="shared" ref="G75:H75" si="87">G74</f>
        <v>2170.269961</v>
      </c>
      <c r="H75" s="13">
        <f t="shared" si="87"/>
        <v>2505.365899</v>
      </c>
      <c r="O75" s="6">
        <v>0.4</v>
      </c>
      <c r="P75" s="12">
        <f t="shared" si="35"/>
        <v>2371.327524</v>
      </c>
      <c r="Q75" s="17">
        <f t="shared" si="36"/>
        <v>0.004395996478</v>
      </c>
      <c r="R75" s="6">
        <f t="shared" si="37"/>
        <v>0.0006472342681</v>
      </c>
      <c r="T75" s="11">
        <f t="shared" si="38"/>
        <v>0.9231163464</v>
      </c>
      <c r="U75" s="11">
        <f t="shared" si="39"/>
        <v>0.8947646885</v>
      </c>
    </row>
    <row r="76">
      <c r="A76" s="6">
        <v>2012.0</v>
      </c>
      <c r="B76" s="6" t="s">
        <v>16</v>
      </c>
      <c r="C76" s="10">
        <f t="shared" si="3"/>
        <v>40969</v>
      </c>
      <c r="D76" s="6">
        <v>96.0</v>
      </c>
      <c r="E76" s="11">
        <v>780.0</v>
      </c>
      <c r="F76" s="11">
        <f t="shared" si="1"/>
        <v>876</v>
      </c>
      <c r="G76" s="12">
        <f t="shared" ref="G76:H76" si="88">G75</f>
        <v>2170.269961</v>
      </c>
      <c r="H76" s="13">
        <f t="shared" si="88"/>
        <v>2505.365899</v>
      </c>
      <c r="O76" s="6">
        <v>0.6</v>
      </c>
      <c r="P76" s="12">
        <f t="shared" si="35"/>
        <v>2388.082321</v>
      </c>
      <c r="Q76" s="17">
        <f t="shared" si="36"/>
        <v>0.003977662102</v>
      </c>
      <c r="R76" s="6">
        <f t="shared" si="37"/>
        <v>0.0006377282391</v>
      </c>
      <c r="T76" s="11">
        <f t="shared" si="38"/>
        <v>0.8352702114</v>
      </c>
      <c r="U76" s="11">
        <f t="shared" si="39"/>
        <v>0.8816231423</v>
      </c>
    </row>
    <row r="77">
      <c r="A77" s="6">
        <v>2012.0</v>
      </c>
      <c r="B77" s="6" t="s">
        <v>17</v>
      </c>
      <c r="C77" s="10">
        <f t="shared" si="3"/>
        <v>41000</v>
      </c>
      <c r="D77" s="6">
        <v>107.0</v>
      </c>
      <c r="E77" s="11">
        <v>731.0</v>
      </c>
      <c r="F77" s="11">
        <f t="shared" si="1"/>
        <v>838</v>
      </c>
      <c r="G77" s="12">
        <f t="shared" ref="G77:H77" si="89">G76</f>
        <v>2170.269961</v>
      </c>
      <c r="H77" s="13">
        <f t="shared" si="89"/>
        <v>2505.365899</v>
      </c>
      <c r="O77" s="6">
        <v>0.8</v>
      </c>
      <c r="P77" s="12">
        <f t="shared" si="35"/>
        <v>2404.837118</v>
      </c>
      <c r="Q77" s="17">
        <f t="shared" si="36"/>
        <v>0.003458013306</v>
      </c>
      <c r="R77" s="6">
        <f t="shared" si="37"/>
        <v>0.0006277820483</v>
      </c>
      <c r="T77" s="11">
        <f t="shared" si="38"/>
        <v>0.7261490371</v>
      </c>
      <c r="U77" s="11">
        <f t="shared" si="39"/>
        <v>0.8678730973</v>
      </c>
    </row>
    <row r="78">
      <c r="A78" s="6">
        <v>2012.0</v>
      </c>
      <c r="B78" s="6" t="s">
        <v>18</v>
      </c>
      <c r="C78" s="10">
        <f t="shared" si="3"/>
        <v>41030</v>
      </c>
      <c r="D78" s="6">
        <v>124.0</v>
      </c>
      <c r="E78" s="11">
        <v>893.0</v>
      </c>
      <c r="F78" s="11">
        <f t="shared" si="1"/>
        <v>1017</v>
      </c>
      <c r="G78" s="12">
        <f t="shared" ref="G78:H78" si="90">G77</f>
        <v>2170.269961</v>
      </c>
      <c r="H78" s="13">
        <f t="shared" si="90"/>
        <v>2505.365899</v>
      </c>
      <c r="O78" s="6">
        <v>1.0</v>
      </c>
      <c r="P78" s="12">
        <f t="shared" si="35"/>
        <v>2421.591914</v>
      </c>
      <c r="Q78" s="17">
        <f t="shared" si="36"/>
        <v>0.002888375506</v>
      </c>
      <c r="R78" s="6">
        <f t="shared" si="37"/>
        <v>0.0006174207717</v>
      </c>
      <c r="T78" s="11">
        <f t="shared" si="38"/>
        <v>0.6065306597</v>
      </c>
      <c r="U78" s="11">
        <f t="shared" si="39"/>
        <v>0.8535492197</v>
      </c>
    </row>
    <row r="79">
      <c r="A79" s="6">
        <v>2012.0</v>
      </c>
      <c r="B79" s="6" t="s">
        <v>24</v>
      </c>
      <c r="C79" s="10">
        <f t="shared" si="3"/>
        <v>41061</v>
      </c>
      <c r="D79" s="6">
        <v>187.0</v>
      </c>
      <c r="E79" s="11">
        <v>916.0</v>
      </c>
      <c r="F79" s="11">
        <f t="shared" si="1"/>
        <v>1103</v>
      </c>
      <c r="G79" s="12">
        <f t="shared" ref="G79:H79" si="91">G78</f>
        <v>2170.269961</v>
      </c>
      <c r="H79" s="13">
        <f t="shared" si="91"/>
        <v>2505.365899</v>
      </c>
      <c r="O79" s="6">
        <v>1.2</v>
      </c>
      <c r="P79" s="12">
        <f t="shared" si="35"/>
        <v>2438.346711</v>
      </c>
      <c r="Q79" s="17">
        <f t="shared" si="36"/>
        <v>0.002317975639</v>
      </c>
      <c r="R79" s="6">
        <f t="shared" si="37"/>
        <v>0.0006066702227</v>
      </c>
      <c r="T79" s="11">
        <f t="shared" si="38"/>
        <v>0.486752256</v>
      </c>
      <c r="U79" s="11">
        <f t="shared" si="39"/>
        <v>0.8386871952</v>
      </c>
    </row>
    <row r="80">
      <c r="A80" s="6">
        <v>2012.0</v>
      </c>
      <c r="B80" s="6" t="s">
        <v>25</v>
      </c>
      <c r="C80" s="10">
        <f t="shared" si="3"/>
        <v>41091</v>
      </c>
      <c r="D80" s="6">
        <v>159.0</v>
      </c>
      <c r="E80" s="11">
        <v>786.0</v>
      </c>
      <c r="F80" s="11">
        <f t="shared" si="1"/>
        <v>945</v>
      </c>
      <c r="G80" s="12">
        <f t="shared" ref="G80:H80" si="92">G79</f>
        <v>2170.269961</v>
      </c>
      <c r="H80" s="13">
        <f t="shared" si="92"/>
        <v>2505.365899</v>
      </c>
      <c r="O80" s="6">
        <v>1.4</v>
      </c>
      <c r="P80" s="12">
        <f t="shared" si="35"/>
        <v>2455.101508</v>
      </c>
      <c r="Q80" s="17">
        <f t="shared" si="36"/>
        <v>0.001787278792</v>
      </c>
      <c r="R80" s="6">
        <f t="shared" si="37"/>
        <v>0.0005955568454</v>
      </c>
      <c r="T80" s="11">
        <f t="shared" si="38"/>
        <v>0.3753110989</v>
      </c>
      <c r="U80" s="11">
        <f t="shared" si="39"/>
        <v>0.8233235809</v>
      </c>
    </row>
    <row r="81">
      <c r="A81" s="6">
        <v>2012.0</v>
      </c>
      <c r="B81" s="6" t="s">
        <v>26</v>
      </c>
      <c r="C81" s="10">
        <f t="shared" si="3"/>
        <v>41122</v>
      </c>
      <c r="D81" s="6">
        <v>158.0</v>
      </c>
      <c r="E81" s="11">
        <v>655.0</v>
      </c>
      <c r="F81" s="11">
        <f t="shared" si="1"/>
        <v>813</v>
      </c>
      <c r="G81" s="12">
        <f t="shared" ref="G81:H81" si="93">G80</f>
        <v>2170.269961</v>
      </c>
      <c r="H81" s="13">
        <f t="shared" si="93"/>
        <v>2505.365899</v>
      </c>
      <c r="O81" s="6">
        <v>1.6</v>
      </c>
      <c r="P81" s="12">
        <f t="shared" si="35"/>
        <v>2471.856305</v>
      </c>
      <c r="Q81" s="17">
        <f t="shared" si="36"/>
        <v>0.001324048695</v>
      </c>
      <c r="R81" s="6">
        <f t="shared" si="37"/>
        <v>0.0005841076066</v>
      </c>
      <c r="T81" s="11">
        <f t="shared" si="38"/>
        <v>0.2780373005</v>
      </c>
      <c r="U81" s="11">
        <f t="shared" si="39"/>
        <v>0.8074956572</v>
      </c>
    </row>
    <row r="82">
      <c r="A82" s="6">
        <v>2012.0</v>
      </c>
      <c r="B82" s="6" t="s">
        <v>27</v>
      </c>
      <c r="C82" s="10">
        <f t="shared" si="3"/>
        <v>41153</v>
      </c>
      <c r="D82" s="6">
        <v>159.0</v>
      </c>
      <c r="E82" s="11">
        <v>834.0</v>
      </c>
      <c r="F82" s="11">
        <f t="shared" si="1"/>
        <v>993</v>
      </c>
      <c r="G82" s="12">
        <f t="shared" ref="G82:H82" si="94">G81</f>
        <v>2170.269961</v>
      </c>
      <c r="H82" s="13">
        <f t="shared" si="94"/>
        <v>2505.365899</v>
      </c>
      <c r="O82" s="6">
        <v>1.8</v>
      </c>
      <c r="P82" s="12">
        <f t="shared" si="35"/>
        <v>2488.611102</v>
      </c>
      <c r="Q82" s="17">
        <f t="shared" si="36"/>
        <v>0.0009424185667</v>
      </c>
      <c r="R82" s="6">
        <f t="shared" si="37"/>
        <v>0.0005723498879</v>
      </c>
      <c r="T82" s="11">
        <f t="shared" si="38"/>
        <v>0.1978986991</v>
      </c>
      <c r="U82" s="11">
        <f t="shared" si="39"/>
        <v>0.7912412776</v>
      </c>
    </row>
    <row r="83">
      <c r="A83" s="6">
        <v>2012.0</v>
      </c>
      <c r="B83" s="6" t="s">
        <v>28</v>
      </c>
      <c r="C83" s="10">
        <f t="shared" si="3"/>
        <v>41183</v>
      </c>
      <c r="D83" s="6">
        <v>246.0</v>
      </c>
      <c r="E83" s="11">
        <v>896.0</v>
      </c>
      <c r="F83" s="11">
        <f t="shared" si="1"/>
        <v>1142</v>
      </c>
      <c r="G83" s="12">
        <f t="shared" ref="G83:H83" si="95">G82</f>
        <v>2170.269961</v>
      </c>
      <c r="H83" s="13">
        <f t="shared" si="95"/>
        <v>2505.365899</v>
      </c>
      <c r="O83" s="6">
        <v>2.0</v>
      </c>
      <c r="P83" s="12">
        <f t="shared" si="35"/>
        <v>2505.365899</v>
      </c>
      <c r="Q83" s="17">
        <f t="shared" si="36"/>
        <v>0.0006444836891</v>
      </c>
      <c r="R83" s="6">
        <f t="shared" si="37"/>
        <v>0.0005603113779</v>
      </c>
      <c r="T83" s="11">
        <f t="shared" si="38"/>
        <v>0.1353352832</v>
      </c>
      <c r="U83" s="11">
        <f t="shared" si="39"/>
        <v>0.7745987199</v>
      </c>
    </row>
    <row r="84">
      <c r="A84" s="6">
        <v>2012.0</v>
      </c>
      <c r="B84" s="6" t="s">
        <v>29</v>
      </c>
      <c r="C84" s="10">
        <f t="shared" si="3"/>
        <v>41214</v>
      </c>
      <c r="D84" s="6">
        <v>363.0</v>
      </c>
      <c r="E84" s="11">
        <v>745.0</v>
      </c>
      <c r="F84" s="11">
        <f t="shared" si="1"/>
        <v>1108</v>
      </c>
      <c r="G84" s="12">
        <f t="shared" ref="G84:H84" si="96">G83</f>
        <v>2170.269961</v>
      </c>
      <c r="H84" s="13">
        <f t="shared" si="96"/>
        <v>2505.365899</v>
      </c>
      <c r="O84" s="6">
        <v>2.2</v>
      </c>
      <c r="P84" s="12">
        <f t="shared" si="35"/>
        <v>2522.120696</v>
      </c>
      <c r="Q84" s="17">
        <f t="shared" si="36"/>
        <v>0.0004234559584</v>
      </c>
      <c r="R84" s="6">
        <f t="shared" si="37"/>
        <v>0.0005480199643</v>
      </c>
      <c r="T84" s="11">
        <f t="shared" si="38"/>
        <v>0.08892161746</v>
      </c>
      <c r="U84" s="11">
        <f t="shared" si="39"/>
        <v>0.7576065373</v>
      </c>
    </row>
    <row r="85">
      <c r="A85" s="6">
        <v>2012.0</v>
      </c>
      <c r="B85" s="6" t="s">
        <v>30</v>
      </c>
      <c r="C85" s="10">
        <f t="shared" si="3"/>
        <v>41244</v>
      </c>
      <c r="D85" s="6">
        <v>279.0</v>
      </c>
      <c r="E85" s="11">
        <v>501.0</v>
      </c>
      <c r="F85" s="11">
        <f t="shared" si="1"/>
        <v>780</v>
      </c>
      <c r="G85" s="12">
        <f t="shared" ref="G85:H85" si="97">G84</f>
        <v>2170.269961</v>
      </c>
      <c r="H85" s="13">
        <f t="shared" si="97"/>
        <v>2505.365899</v>
      </c>
      <c r="O85" s="6">
        <v>2.4</v>
      </c>
      <c r="P85" s="12">
        <f t="shared" si="35"/>
        <v>2538.875493</v>
      </c>
      <c r="Q85" s="17">
        <f t="shared" si="36"/>
        <v>0.0002673208211</v>
      </c>
      <c r="R85" s="6">
        <f t="shared" si="37"/>
        <v>0.0005355036284</v>
      </c>
      <c r="T85" s="11">
        <f t="shared" si="38"/>
        <v>0.05613476283</v>
      </c>
      <c r="U85" s="11">
        <f t="shared" si="39"/>
        <v>0.7403034123</v>
      </c>
    </row>
    <row r="86">
      <c r="A86" s="6">
        <v>2013.0</v>
      </c>
      <c r="B86" s="6" t="s">
        <v>14</v>
      </c>
      <c r="C86" s="10">
        <f t="shared" si="3"/>
        <v>41275</v>
      </c>
      <c r="D86" s="6">
        <v>229.0</v>
      </c>
      <c r="E86" s="11">
        <v>522.0</v>
      </c>
      <c r="F86" s="11">
        <f t="shared" si="1"/>
        <v>751</v>
      </c>
      <c r="G86" s="12">
        <f t="shared" ref="G86:H86" si="98">G85</f>
        <v>2170.269961</v>
      </c>
      <c r="H86" s="13">
        <f t="shared" si="98"/>
        <v>2505.365899</v>
      </c>
      <c r="O86" s="6">
        <v>2.6</v>
      </c>
      <c r="P86" s="12">
        <f t="shared" si="35"/>
        <v>2555.63029</v>
      </c>
      <c r="Q86" s="17">
        <f t="shared" si="36"/>
        <v>0.000162138274</v>
      </c>
      <c r="R86" s="6">
        <f t="shared" si="37"/>
        <v>0.0005227903406</v>
      </c>
      <c r="T86" s="11">
        <f t="shared" si="38"/>
        <v>0.03404745473</v>
      </c>
      <c r="U86" s="11">
        <f t="shared" si="39"/>
        <v>0.7227280126</v>
      </c>
    </row>
    <row r="87">
      <c r="A87" s="6">
        <v>2013.0</v>
      </c>
      <c r="B87" s="6" t="s">
        <v>15</v>
      </c>
      <c r="C87" s="10">
        <f t="shared" si="3"/>
        <v>41306</v>
      </c>
      <c r="D87" s="6">
        <v>111.0</v>
      </c>
      <c r="E87" s="11">
        <v>546.0</v>
      </c>
      <c r="F87" s="11">
        <f t="shared" si="1"/>
        <v>657</v>
      </c>
      <c r="G87" s="12">
        <f t="shared" ref="G87:H87" si="99">G86</f>
        <v>2170.269961</v>
      </c>
      <c r="H87" s="13">
        <f t="shared" si="99"/>
        <v>2505.365899</v>
      </c>
      <c r="O87" s="6">
        <v>2.8</v>
      </c>
      <c r="P87" s="12">
        <f t="shared" si="35"/>
        <v>2572.385086</v>
      </c>
      <c r="Q87" s="17">
        <f t="shared" si="36"/>
        <v>0.0000944857958</v>
      </c>
      <c r="R87" s="6">
        <f t="shared" si="37"/>
        <v>0.0005099079589</v>
      </c>
      <c r="T87" s="11">
        <f t="shared" si="38"/>
        <v>0.01984109474</v>
      </c>
      <c r="U87" s="11">
        <f t="shared" si="39"/>
        <v>0.7049188502</v>
      </c>
    </row>
    <row r="88">
      <c r="A88" s="6">
        <v>2013.0</v>
      </c>
      <c r="B88" s="6" t="s">
        <v>16</v>
      </c>
      <c r="C88" s="10">
        <f t="shared" si="3"/>
        <v>41334</v>
      </c>
      <c r="D88" s="6">
        <v>187.0</v>
      </c>
      <c r="E88" s="11">
        <v>685.0</v>
      </c>
      <c r="F88" s="11">
        <f t="shared" si="1"/>
        <v>872</v>
      </c>
      <c r="G88" s="12">
        <f t="shared" ref="G88:H88" si="100">G87</f>
        <v>2170.269961</v>
      </c>
      <c r="H88" s="13">
        <f t="shared" si="100"/>
        <v>2505.365899</v>
      </c>
      <c r="O88" s="6">
        <v>3.0</v>
      </c>
      <c r="P88" s="12">
        <f t="shared" si="35"/>
        <v>2589.139883</v>
      </c>
      <c r="Q88" s="17">
        <f t="shared" si="36"/>
        <v>0.00005290244273</v>
      </c>
      <c r="R88" s="6">
        <f t="shared" si="37"/>
        <v>0.0004968841299</v>
      </c>
      <c r="T88" s="11">
        <f t="shared" si="38"/>
        <v>0.01110899654</v>
      </c>
      <c r="U88" s="11">
        <f t="shared" si="39"/>
        <v>0.6869141448</v>
      </c>
    </row>
    <row r="89">
      <c r="A89" s="6">
        <v>2013.0</v>
      </c>
      <c r="B89" s="6" t="s">
        <v>17</v>
      </c>
      <c r="C89" s="10">
        <f t="shared" si="3"/>
        <v>41365</v>
      </c>
      <c r="D89" s="6">
        <v>89.0</v>
      </c>
      <c r="E89" s="6">
        <v>665.0</v>
      </c>
      <c r="F89" s="11">
        <f t="shared" si="1"/>
        <v>754</v>
      </c>
      <c r="G89" s="12">
        <f t="shared" ref="G89:H89" si="101">G88</f>
        <v>2170.269961</v>
      </c>
      <c r="H89" s="13">
        <f t="shared" si="101"/>
        <v>2505.365899</v>
      </c>
      <c r="O89" s="6">
        <v>3.2</v>
      </c>
      <c r="P89" s="12">
        <f t="shared" si="35"/>
        <v>2605.89468</v>
      </c>
      <c r="Q89" s="17">
        <f t="shared" si="36"/>
        <v>0.0000284585748</v>
      </c>
      <c r="R89" s="6">
        <f t="shared" si="37"/>
        <v>0.0004837461932</v>
      </c>
      <c r="T89" s="11">
        <f t="shared" si="38"/>
        <v>0.005976022895</v>
      </c>
      <c r="U89" s="11">
        <f t="shared" si="39"/>
        <v>0.6687516919</v>
      </c>
    </row>
    <row r="90">
      <c r="A90" s="6">
        <v>2013.0</v>
      </c>
      <c r="B90" s="6" t="s">
        <v>18</v>
      </c>
      <c r="C90" s="10">
        <f t="shared" si="3"/>
        <v>41395</v>
      </c>
      <c r="D90" s="6">
        <v>82.0</v>
      </c>
      <c r="E90" s="6">
        <v>846.0</v>
      </c>
      <c r="F90" s="11">
        <f t="shared" si="1"/>
        <v>928</v>
      </c>
      <c r="G90" s="12">
        <f t="shared" ref="G90:H90" si="102">G89</f>
        <v>2170.269961</v>
      </c>
      <c r="H90" s="13">
        <f t="shared" si="102"/>
        <v>2505.365899</v>
      </c>
      <c r="O90" s="6">
        <v>3.4</v>
      </c>
      <c r="P90" s="12">
        <f t="shared" si="35"/>
        <v>2622.649477</v>
      </c>
      <c r="Q90" s="17">
        <f t="shared" si="36"/>
        <v>0.00001470885237</v>
      </c>
      <c r="R90" s="6">
        <f t="shared" si="37"/>
        <v>0.0004705210895</v>
      </c>
      <c r="T90" s="11">
        <f t="shared" si="38"/>
        <v>0.003088715408</v>
      </c>
      <c r="U90" s="11">
        <f t="shared" si="39"/>
        <v>0.6504687357</v>
      </c>
    </row>
    <row r="91">
      <c r="A91" s="6">
        <v>2013.0</v>
      </c>
      <c r="B91" s="6" t="s">
        <v>24</v>
      </c>
      <c r="C91" s="10">
        <f t="shared" si="3"/>
        <v>41426</v>
      </c>
      <c r="D91" s="6">
        <v>94.0</v>
      </c>
      <c r="E91" s="6">
        <v>891.0</v>
      </c>
      <c r="F91" s="11">
        <f t="shared" si="1"/>
        <v>985</v>
      </c>
      <c r="G91" s="12">
        <f t="shared" ref="G91:H91" si="103">G90</f>
        <v>2170.269961</v>
      </c>
      <c r="H91" s="13">
        <f t="shared" si="103"/>
        <v>2505.365899</v>
      </c>
      <c r="O91" s="6">
        <v>3.6</v>
      </c>
      <c r="P91" s="12">
        <f t="shared" si="35"/>
        <v>2639.404274</v>
      </c>
      <c r="Q91" s="17">
        <f t="shared" si="36"/>
        <v>0.00000730419992</v>
      </c>
      <c r="R91" s="6">
        <f t="shared" si="37"/>
        <v>0.0004572352734</v>
      </c>
      <c r="T91" s="11">
        <f t="shared" si="38"/>
        <v>0.001533810679</v>
      </c>
      <c r="U91" s="11">
        <f t="shared" si="39"/>
        <v>0.6321018481</v>
      </c>
    </row>
    <row r="92">
      <c r="A92" s="6">
        <v>2013.0</v>
      </c>
      <c r="B92" s="6" t="s">
        <v>25</v>
      </c>
      <c r="C92" s="10">
        <f t="shared" si="3"/>
        <v>41456</v>
      </c>
      <c r="D92" s="6">
        <v>92.0</v>
      </c>
      <c r="E92" s="6">
        <v>948.0</v>
      </c>
      <c r="F92" s="11">
        <f t="shared" si="1"/>
        <v>1040</v>
      </c>
      <c r="G92" s="12">
        <f t="shared" ref="G92:H92" si="104">G91</f>
        <v>2170.269961</v>
      </c>
      <c r="H92" s="13">
        <f t="shared" si="104"/>
        <v>2505.365899</v>
      </c>
      <c r="O92" s="6">
        <v>3.8</v>
      </c>
      <c r="P92" s="12">
        <f t="shared" si="35"/>
        <v>2656.159071</v>
      </c>
      <c r="Q92" s="17">
        <f t="shared" si="36"/>
        <v>0.000003484935424</v>
      </c>
      <c r="R92" s="6">
        <f t="shared" si="37"/>
        <v>0.0004439146304</v>
      </c>
      <c r="T92" s="11">
        <f t="shared" si="38"/>
        <v>0.0007318024189</v>
      </c>
      <c r="U92" s="11">
        <f t="shared" si="39"/>
        <v>0.6136868141</v>
      </c>
    </row>
    <row r="93">
      <c r="A93" s="6">
        <v>2013.0</v>
      </c>
      <c r="B93" s="6" t="s">
        <v>26</v>
      </c>
      <c r="C93" s="10">
        <f t="shared" si="3"/>
        <v>41487</v>
      </c>
      <c r="D93" s="6">
        <v>143.0</v>
      </c>
      <c r="E93" s="6">
        <v>1062.0</v>
      </c>
      <c r="F93" s="11">
        <f t="shared" si="1"/>
        <v>1205</v>
      </c>
      <c r="G93" s="12">
        <f t="shared" ref="G93:H93" si="105">G92</f>
        <v>2170.269961</v>
      </c>
      <c r="H93" s="13">
        <f t="shared" si="105"/>
        <v>2505.365899</v>
      </c>
      <c r="O93" s="6">
        <v>4.0</v>
      </c>
      <c r="P93" s="12">
        <f t="shared" si="35"/>
        <v>2672.913868</v>
      </c>
      <c r="Q93" s="17">
        <f t="shared" si="36"/>
        <v>0.000001597515347</v>
      </c>
      <c r="R93" s="6">
        <f t="shared" si="37"/>
        <v>0.0004305843983</v>
      </c>
      <c r="T93" s="11">
        <f t="shared" si="38"/>
        <v>0.0003354626279</v>
      </c>
      <c r="U93" s="11">
        <f t="shared" si="39"/>
        <v>0.5952585239</v>
      </c>
    </row>
    <row r="94">
      <c r="A94" s="6">
        <v>2013.0</v>
      </c>
      <c r="B94" s="6" t="s">
        <v>27</v>
      </c>
      <c r="C94" s="10">
        <f t="shared" si="3"/>
        <v>41518</v>
      </c>
      <c r="D94" s="6">
        <v>53.0</v>
      </c>
      <c r="E94" s="6">
        <v>350.0</v>
      </c>
      <c r="F94" s="11">
        <f t="shared" si="1"/>
        <v>403</v>
      </c>
      <c r="G94" s="12">
        <f t="shared" ref="G94:H94" si="106">G93</f>
        <v>2170.269961</v>
      </c>
      <c r="H94" s="13">
        <f t="shared" si="106"/>
        <v>2505.365899</v>
      </c>
      <c r="O94" s="6">
        <v>4.2</v>
      </c>
      <c r="P94" s="12">
        <f t="shared" si="35"/>
        <v>2689.668665</v>
      </c>
      <c r="Q94" s="17">
        <f t="shared" si="36"/>
        <v>0.0000007035963275</v>
      </c>
      <c r="R94" s="6">
        <f t="shared" si="37"/>
        <v>0.000417269095</v>
      </c>
      <c r="T94" s="11">
        <f t="shared" si="38"/>
        <v>0.0001477483602</v>
      </c>
      <c r="U94" s="11">
        <f t="shared" si="39"/>
        <v>0.5768508718</v>
      </c>
    </row>
    <row r="95">
      <c r="A95" s="6">
        <v>2013.0</v>
      </c>
      <c r="B95" s="6" t="s">
        <v>28</v>
      </c>
      <c r="C95" s="10">
        <f t="shared" si="3"/>
        <v>41548</v>
      </c>
      <c r="D95" s="6">
        <v>170.0</v>
      </c>
      <c r="E95" s="6">
        <v>687.0</v>
      </c>
      <c r="F95" s="11">
        <f t="shared" si="1"/>
        <v>857</v>
      </c>
      <c r="G95" s="12">
        <f t="shared" ref="G95:H95" si="107">G94</f>
        <v>2170.269961</v>
      </c>
      <c r="H95" s="13">
        <f t="shared" si="107"/>
        <v>2505.365899</v>
      </c>
      <c r="O95" s="6">
        <v>4.4</v>
      </c>
      <c r="P95" s="12">
        <f t="shared" si="35"/>
        <v>2706.423461</v>
      </c>
      <c r="Q95" s="17">
        <f t="shared" si="36"/>
        <v>0.000000297735287</v>
      </c>
      <c r="R95" s="6">
        <f t="shared" si="37"/>
        <v>0.0004039924504</v>
      </c>
      <c r="T95" s="11">
        <f t="shared" si="38"/>
        <v>0.00006252150377</v>
      </c>
      <c r="U95" s="11">
        <f t="shared" si="39"/>
        <v>0.5584966632</v>
      </c>
    </row>
    <row r="96">
      <c r="A96" s="6">
        <v>2013.0</v>
      </c>
      <c r="B96" s="6" t="s">
        <v>29</v>
      </c>
      <c r="C96" s="10">
        <f t="shared" si="3"/>
        <v>41579</v>
      </c>
      <c r="D96" s="6">
        <v>540.0</v>
      </c>
      <c r="E96" s="6">
        <v>891.0</v>
      </c>
      <c r="F96" s="11">
        <f t="shared" si="1"/>
        <v>1431</v>
      </c>
      <c r="G96" s="12">
        <f t="shared" ref="G96:H96" si="108">G95</f>
        <v>2170.269961</v>
      </c>
      <c r="H96" s="13">
        <f t="shared" si="108"/>
        <v>2505.365899</v>
      </c>
      <c r="O96" s="6">
        <v>4.6</v>
      </c>
      <c r="P96" s="12">
        <f t="shared" si="35"/>
        <v>2723.178258</v>
      </c>
      <c r="Q96" s="17">
        <f t="shared" si="36"/>
        <v>0.0000001210501343</v>
      </c>
      <c r="R96" s="6">
        <f t="shared" si="37"/>
        <v>0.000390777345</v>
      </c>
      <c r="T96" s="11">
        <f t="shared" si="38"/>
        <v>0.00002541934652</v>
      </c>
      <c r="U96" s="11">
        <f t="shared" si="39"/>
        <v>0.540227529</v>
      </c>
    </row>
    <row r="97">
      <c r="A97" s="6">
        <v>2013.0</v>
      </c>
      <c r="B97" s="6" t="s">
        <v>30</v>
      </c>
      <c r="C97" s="10">
        <f t="shared" si="3"/>
        <v>41609</v>
      </c>
      <c r="D97" s="6">
        <v>94.0</v>
      </c>
      <c r="E97" s="6">
        <v>715.0</v>
      </c>
      <c r="F97" s="11">
        <f t="shared" si="1"/>
        <v>809</v>
      </c>
      <c r="G97" s="12">
        <f t="shared" ref="G97:H97" si="109">G96</f>
        <v>2170.269961</v>
      </c>
      <c r="H97" s="13">
        <f t="shared" si="109"/>
        <v>2505.365899</v>
      </c>
      <c r="O97" s="6">
        <v>4.8</v>
      </c>
      <c r="P97" s="12">
        <f t="shared" si="35"/>
        <v>2739.933055</v>
      </c>
      <c r="Q97" s="17">
        <f t="shared" si="36"/>
        <v>0.00000004728555195</v>
      </c>
      <c r="R97" s="6">
        <f t="shared" si="37"/>
        <v>0.0003776457535</v>
      </c>
      <c r="T97" s="11">
        <f t="shared" si="38"/>
        <v>0.000009929504306</v>
      </c>
      <c r="U97" s="11">
        <f t="shared" si="39"/>
        <v>0.5220738482</v>
      </c>
    </row>
    <row r="98">
      <c r="A98" s="6">
        <v>2014.0</v>
      </c>
      <c r="B98" s="6" t="s">
        <v>14</v>
      </c>
      <c r="C98" s="10">
        <f t="shared" si="3"/>
        <v>41640</v>
      </c>
      <c r="D98" s="6">
        <v>119.0</v>
      </c>
      <c r="E98" s="6">
        <v>788.0</v>
      </c>
      <c r="F98" s="11">
        <f t="shared" si="1"/>
        <v>907</v>
      </c>
      <c r="G98" s="12">
        <f t="shared" ref="G98:H98" si="110">G97</f>
        <v>2170.269961</v>
      </c>
      <c r="H98" s="13">
        <f t="shared" si="110"/>
        <v>2505.365899</v>
      </c>
      <c r="O98" s="6">
        <v>5.0</v>
      </c>
      <c r="P98" s="12">
        <f t="shared" si="35"/>
        <v>2756.687852</v>
      </c>
      <c r="Q98" s="17">
        <f t="shared" si="36"/>
        <v>0.00000001774679246</v>
      </c>
      <c r="R98" s="6">
        <f t="shared" si="37"/>
        <v>0.0003646186951</v>
      </c>
      <c r="T98" s="11">
        <f t="shared" si="38"/>
        <v>0.000003726653172</v>
      </c>
      <c r="U98" s="11">
        <f t="shared" si="39"/>
        <v>0.5040646784</v>
      </c>
    </row>
    <row r="99">
      <c r="A99" s="6">
        <v>2014.0</v>
      </c>
      <c r="B99" s="6" t="s">
        <v>15</v>
      </c>
      <c r="C99" s="10">
        <f t="shared" si="3"/>
        <v>41671</v>
      </c>
      <c r="D99" s="6">
        <v>147.0</v>
      </c>
      <c r="E99" s="6">
        <v>686.0</v>
      </c>
      <c r="F99" s="11">
        <f t="shared" si="1"/>
        <v>833</v>
      </c>
      <c r="G99" s="12">
        <f t="shared" ref="G99:H99" si="111">G98</f>
        <v>2170.269961</v>
      </c>
      <c r="H99" s="13">
        <f t="shared" si="111"/>
        <v>2505.365899</v>
      </c>
      <c r="O99" s="6">
        <v>5.2</v>
      </c>
      <c r="P99" s="12">
        <f t="shared" si="35"/>
        <v>2773.442649</v>
      </c>
      <c r="Q99" s="17">
        <f t="shared" si="36"/>
        <v>0.000000006399403566</v>
      </c>
      <c r="R99" s="6">
        <f t="shared" si="37"/>
        <v>0.0003517161889</v>
      </c>
      <c r="T99" s="11">
        <f t="shared" si="38"/>
        <v>0.000001343812278</v>
      </c>
      <c r="U99" s="11">
        <f t="shared" si="39"/>
        <v>0.4862276949</v>
      </c>
    </row>
    <row r="100">
      <c r="A100" s="6">
        <v>2014.0</v>
      </c>
      <c r="B100" s="6" t="s">
        <v>16</v>
      </c>
      <c r="C100" s="10">
        <f t="shared" si="3"/>
        <v>41699</v>
      </c>
      <c r="D100" s="6">
        <v>168.0</v>
      </c>
      <c r="E100" s="6">
        <v>820.0</v>
      </c>
      <c r="F100" s="11">
        <f t="shared" si="1"/>
        <v>988</v>
      </c>
      <c r="G100" s="12">
        <f t="shared" ref="G100:H100" si="112">G99</f>
        <v>2170.269961</v>
      </c>
      <c r="H100" s="13">
        <f t="shared" si="112"/>
        <v>2505.365899</v>
      </c>
      <c r="O100" s="6">
        <v>5.4</v>
      </c>
      <c r="P100" s="12">
        <f t="shared" si="35"/>
        <v>2790.197446</v>
      </c>
      <c r="Q100" s="17">
        <f t="shared" si="36"/>
        <v>0.000000002217110548</v>
      </c>
      <c r="R100" s="6">
        <f t="shared" si="37"/>
        <v>0.0003389572159</v>
      </c>
      <c r="T100" s="11">
        <f t="shared" si="38"/>
        <v>0.0000004655715716</v>
      </c>
      <c r="U100" s="11">
        <f t="shared" si="39"/>
        <v>0.4685891379</v>
      </c>
    </row>
    <row r="101">
      <c r="A101" s="6">
        <v>2014.0</v>
      </c>
      <c r="B101" s="6" t="s">
        <v>17</v>
      </c>
      <c r="C101" s="10">
        <f t="shared" si="3"/>
        <v>41730</v>
      </c>
      <c r="D101" s="6">
        <v>155.0</v>
      </c>
      <c r="E101" s="6">
        <v>871.0</v>
      </c>
      <c r="F101" s="11">
        <f t="shared" si="1"/>
        <v>1026</v>
      </c>
      <c r="G101" s="12">
        <f t="shared" ref="G101:H101" si="113">G100</f>
        <v>2170.269961</v>
      </c>
      <c r="H101" s="13">
        <f t="shared" si="113"/>
        <v>2505.365899</v>
      </c>
      <c r="O101" s="6">
        <v>5.6</v>
      </c>
      <c r="P101" s="12">
        <f t="shared" si="35"/>
        <v>2806.952243</v>
      </c>
      <c r="Q101" s="17">
        <f t="shared" si="36"/>
        <v>0.0000000007380119908</v>
      </c>
      <c r="R101" s="6">
        <f t="shared" si="37"/>
        <v>0.0003263596872</v>
      </c>
      <c r="T101" s="11">
        <f t="shared" si="38"/>
        <v>0.0000001549753136</v>
      </c>
      <c r="U101" s="11">
        <f t="shared" si="39"/>
        <v>0.4511737686</v>
      </c>
    </row>
    <row r="102">
      <c r="A102" s="6">
        <v>2014.0</v>
      </c>
      <c r="B102" s="6" t="s">
        <v>18</v>
      </c>
      <c r="C102" s="10">
        <f t="shared" si="3"/>
        <v>41760</v>
      </c>
      <c r="D102" s="6">
        <v>110.0</v>
      </c>
      <c r="E102" s="6">
        <v>748.0</v>
      </c>
      <c r="F102" s="11">
        <f t="shared" si="1"/>
        <v>858</v>
      </c>
      <c r="G102" s="12">
        <f t="shared" ref="G102:H102" si="114">G101</f>
        <v>2170.269961</v>
      </c>
      <c r="H102" s="13">
        <f t="shared" si="114"/>
        <v>2505.365899</v>
      </c>
      <c r="O102" s="6">
        <v>5.8</v>
      </c>
      <c r="P102" s="12">
        <f t="shared" si="35"/>
        <v>2823.70704</v>
      </c>
      <c r="Q102" s="17">
        <f t="shared" si="36"/>
        <v>0.000000000236030273</v>
      </c>
      <c r="R102" s="6">
        <f t="shared" si="37"/>
        <v>0.0003139404177</v>
      </c>
      <c r="T102" s="11">
        <f t="shared" si="38"/>
        <v>0.00000004956405319</v>
      </c>
      <c r="U102" s="11">
        <f t="shared" si="39"/>
        <v>0.4340048325</v>
      </c>
    </row>
    <row r="103">
      <c r="A103" s="6">
        <v>2014.0</v>
      </c>
      <c r="B103" s="6" t="s">
        <v>24</v>
      </c>
      <c r="C103" s="10">
        <f t="shared" si="3"/>
        <v>41791</v>
      </c>
      <c r="D103" s="6">
        <v>134.0</v>
      </c>
      <c r="E103" s="6">
        <v>618.0</v>
      </c>
      <c r="F103" s="11">
        <f t="shared" si="1"/>
        <v>752</v>
      </c>
      <c r="G103" s="12">
        <f t="shared" ref="G103:H103" si="115">G102</f>
        <v>2170.269961</v>
      </c>
      <c r="H103" s="13">
        <f t="shared" si="115"/>
        <v>2505.365899</v>
      </c>
      <c r="O103" s="6">
        <v>6.0</v>
      </c>
      <c r="P103" s="12">
        <f t="shared" si="35"/>
        <v>2840.461836</v>
      </c>
      <c r="Q103" s="17">
        <f t="shared" si="36"/>
        <v>0</v>
      </c>
      <c r="R103" s="6">
        <f t="shared" si="37"/>
        <v>0.000301715106</v>
      </c>
      <c r="T103" s="11">
        <f t="shared" si="38"/>
        <v>0.00000001522997974</v>
      </c>
      <c r="U103" s="11">
        <f t="shared" si="39"/>
        <v>0.417104032</v>
      </c>
    </row>
    <row r="104">
      <c r="A104" s="6">
        <v>2014.0</v>
      </c>
      <c r="B104" s="6" t="s">
        <v>25</v>
      </c>
      <c r="C104" s="10">
        <f t="shared" si="3"/>
        <v>41821</v>
      </c>
      <c r="D104" s="6">
        <v>48.0</v>
      </c>
      <c r="E104" s="6">
        <v>619.0</v>
      </c>
      <c r="F104" s="11">
        <f t="shared" si="1"/>
        <v>667</v>
      </c>
      <c r="G104" s="12">
        <f t="shared" ref="G104:H104" si="116">G103</f>
        <v>2170.269961</v>
      </c>
      <c r="H104" s="13">
        <f t="shared" si="116"/>
        <v>2505.365899</v>
      </c>
      <c r="O104" s="6">
        <v>6.2</v>
      </c>
      <c r="P104" s="12">
        <f t="shared" si="35"/>
        <v>2857.216633</v>
      </c>
      <c r="Q104" s="17">
        <f t="shared" si="36"/>
        <v>0</v>
      </c>
      <c r="R104" s="6">
        <f t="shared" si="37"/>
        <v>0.0002896983199</v>
      </c>
      <c r="T104" s="11">
        <f t="shared" si="38"/>
        <v>0.000000004496349462</v>
      </c>
      <c r="U104" s="11">
        <f t="shared" si="39"/>
        <v>0.4004915063</v>
      </c>
    </row>
    <row r="105">
      <c r="A105" s="6">
        <v>2014.0</v>
      </c>
      <c r="B105" s="6" t="s">
        <v>26</v>
      </c>
      <c r="C105" s="10">
        <f t="shared" si="3"/>
        <v>41852</v>
      </c>
      <c r="D105" s="6">
        <v>67.0</v>
      </c>
      <c r="E105" s="6">
        <v>646.0</v>
      </c>
      <c r="F105" s="11">
        <f t="shared" si="1"/>
        <v>713</v>
      </c>
      <c r="G105" s="12">
        <f t="shared" ref="G105:H105" si="117">G104</f>
        <v>2170.269961</v>
      </c>
      <c r="H105" s="13">
        <f t="shared" si="117"/>
        <v>2505.365899</v>
      </c>
      <c r="O105" s="6">
        <v>6.4</v>
      </c>
      <c r="P105" s="12">
        <f t="shared" si="35"/>
        <v>2873.97143</v>
      </c>
      <c r="Q105" s="17">
        <f t="shared" si="36"/>
        <v>0</v>
      </c>
      <c r="R105" s="6">
        <f t="shared" si="37"/>
        <v>0.0002779034879</v>
      </c>
      <c r="T105" s="11">
        <f t="shared" si="38"/>
        <v>0.00000000127540763</v>
      </c>
      <c r="U105" s="11">
        <f t="shared" si="39"/>
        <v>0.3841858197</v>
      </c>
    </row>
    <row r="106">
      <c r="A106" s="6">
        <v>2014.0</v>
      </c>
      <c r="B106" s="6" t="s">
        <v>27</v>
      </c>
      <c r="C106" s="10">
        <f t="shared" si="3"/>
        <v>41883</v>
      </c>
      <c r="D106" s="6">
        <v>65.0</v>
      </c>
      <c r="E106" s="6">
        <v>718.0</v>
      </c>
      <c r="F106" s="11">
        <f t="shared" si="1"/>
        <v>783</v>
      </c>
      <c r="G106" s="12">
        <f t="shared" ref="G106:H106" si="118">G105</f>
        <v>2170.269961</v>
      </c>
      <c r="H106" s="13">
        <f t="shared" si="118"/>
        <v>2505.365899</v>
      </c>
      <c r="O106" s="6">
        <v>6.6</v>
      </c>
      <c r="P106" s="12">
        <f t="shared" si="35"/>
        <v>2890.726227</v>
      </c>
      <c r="Q106" s="17">
        <f t="shared" si="36"/>
        <v>0</v>
      </c>
      <c r="R106" s="6">
        <f t="shared" si="37"/>
        <v>0.0002663428962</v>
      </c>
      <c r="T106" s="11">
        <f t="shared" si="38"/>
        <v>0.0000000003475891281</v>
      </c>
      <c r="U106" s="11">
        <f t="shared" si="39"/>
        <v>0.3682039569</v>
      </c>
    </row>
    <row r="107">
      <c r="A107" s="6">
        <v>2014.0</v>
      </c>
      <c r="B107" s="6" t="s">
        <v>28</v>
      </c>
      <c r="C107" s="10">
        <f t="shared" si="3"/>
        <v>41913</v>
      </c>
      <c r="D107" s="6">
        <v>59.0</v>
      </c>
      <c r="E107" s="6">
        <v>801.0</v>
      </c>
      <c r="F107" s="11">
        <f t="shared" si="1"/>
        <v>860</v>
      </c>
      <c r="G107" s="12">
        <f t="shared" ref="G107:H107" si="119">G106</f>
        <v>2170.269961</v>
      </c>
      <c r="H107" s="13">
        <f t="shared" si="119"/>
        <v>2505.365899</v>
      </c>
      <c r="O107" s="6">
        <v>6.8</v>
      </c>
      <c r="P107" s="12">
        <f t="shared" si="35"/>
        <v>2907.481024</v>
      </c>
      <c r="Q107" s="17">
        <f t="shared" si="36"/>
        <v>0</v>
      </c>
      <c r="R107" s="6">
        <f t="shared" si="37"/>
        <v>0.0002550276901</v>
      </c>
      <c r="T107" s="11">
        <f t="shared" si="38"/>
        <v>0</v>
      </c>
      <c r="U107" s="11">
        <f t="shared" si="39"/>
        <v>0.3525613258</v>
      </c>
    </row>
    <row r="108">
      <c r="A108" s="6">
        <v>2014.0</v>
      </c>
      <c r="B108" s="6" t="s">
        <v>29</v>
      </c>
      <c r="C108" s="10">
        <f t="shared" si="3"/>
        <v>41944</v>
      </c>
      <c r="D108" s="6">
        <v>65.0</v>
      </c>
      <c r="E108" s="6">
        <v>485.0</v>
      </c>
      <c r="F108" s="11">
        <f t="shared" si="1"/>
        <v>550</v>
      </c>
      <c r="G108" s="12">
        <f t="shared" ref="G108:H108" si="120">G107</f>
        <v>2170.269961</v>
      </c>
      <c r="H108" s="13">
        <f t="shared" si="120"/>
        <v>2505.365899</v>
      </c>
      <c r="O108" s="6">
        <v>7.0</v>
      </c>
      <c r="P108" s="12">
        <f t="shared" si="35"/>
        <v>2924.235821</v>
      </c>
      <c r="Q108" s="17">
        <f t="shared" si="36"/>
        <v>0</v>
      </c>
      <c r="R108" s="6">
        <f t="shared" si="37"/>
        <v>0.000243967882</v>
      </c>
      <c r="T108" s="11">
        <f t="shared" si="38"/>
        <v>0</v>
      </c>
      <c r="U108" s="11">
        <f t="shared" si="39"/>
        <v>0.3372717681</v>
      </c>
    </row>
    <row r="109">
      <c r="A109" s="6">
        <v>2014.0</v>
      </c>
      <c r="B109" s="6" t="s">
        <v>30</v>
      </c>
      <c r="C109" s="10">
        <f t="shared" si="3"/>
        <v>41974</v>
      </c>
      <c r="D109" s="6">
        <v>27.0</v>
      </c>
      <c r="E109" s="6">
        <v>638.0</v>
      </c>
      <c r="F109" s="11">
        <f t="shared" si="1"/>
        <v>665</v>
      </c>
      <c r="G109" s="12">
        <f t="shared" ref="G109:H109" si="121">G108</f>
        <v>2170.269961</v>
      </c>
      <c r="H109" s="13">
        <f t="shared" si="121"/>
        <v>2505.365899</v>
      </c>
      <c r="O109" s="6">
        <v>7.2</v>
      </c>
      <c r="P109" s="12">
        <f t="shared" si="35"/>
        <v>2940.990618</v>
      </c>
      <c r="Q109" s="17">
        <f t="shared" si="36"/>
        <v>0</v>
      </c>
      <c r="R109" s="6">
        <f t="shared" si="37"/>
        <v>0.0002331723628</v>
      </c>
      <c r="T109" s="11">
        <f t="shared" si="38"/>
        <v>0</v>
      </c>
      <c r="U109" s="11">
        <f t="shared" si="39"/>
        <v>0.3223475748</v>
      </c>
    </row>
    <row r="110">
      <c r="A110" s="6">
        <v>2015.0</v>
      </c>
      <c r="B110" s="6" t="s">
        <v>14</v>
      </c>
      <c r="C110" s="10">
        <f t="shared" si="3"/>
        <v>42005</v>
      </c>
      <c r="D110" s="6">
        <v>58.0</v>
      </c>
      <c r="E110" s="6">
        <v>589.0</v>
      </c>
      <c r="F110" s="11">
        <f t="shared" si="1"/>
        <v>647</v>
      </c>
      <c r="G110" s="12">
        <f t="shared" ref="G110:H110" si="122">G109</f>
        <v>2170.269961</v>
      </c>
      <c r="H110" s="13">
        <f t="shared" si="122"/>
        <v>2505.365899</v>
      </c>
      <c r="O110" s="6">
        <v>7.4</v>
      </c>
      <c r="P110" s="12">
        <f t="shared" si="35"/>
        <v>2957.745415</v>
      </c>
      <c r="Q110" s="17">
        <f t="shared" si="36"/>
        <v>0</v>
      </c>
      <c r="R110" s="6">
        <f t="shared" si="37"/>
        <v>0.0002226489188</v>
      </c>
      <c r="T110" s="11">
        <f t="shared" si="38"/>
        <v>0</v>
      </c>
      <c r="U110" s="11">
        <f t="shared" si="39"/>
        <v>0.3077995099</v>
      </c>
    </row>
    <row r="111">
      <c r="A111" s="6">
        <v>2015.0</v>
      </c>
      <c r="B111" s="6" t="s">
        <v>15</v>
      </c>
      <c r="C111" s="10">
        <f t="shared" si="3"/>
        <v>42036</v>
      </c>
      <c r="D111" s="6">
        <v>60.0</v>
      </c>
      <c r="E111" s="6">
        <v>481.0</v>
      </c>
      <c r="F111" s="11">
        <f t="shared" si="1"/>
        <v>541</v>
      </c>
      <c r="G111" s="12">
        <f t="shared" ref="G111:H111" si="123">G110</f>
        <v>2170.269961</v>
      </c>
      <c r="H111" s="13">
        <f t="shared" si="123"/>
        <v>2505.365899</v>
      </c>
      <c r="O111" s="6">
        <v>7.6</v>
      </c>
      <c r="P111" s="12">
        <f t="shared" si="35"/>
        <v>2974.500211</v>
      </c>
      <c r="Q111" s="17">
        <f t="shared" si="36"/>
        <v>0</v>
      </c>
      <c r="R111" s="6">
        <f t="shared" si="37"/>
        <v>0.0002124042521</v>
      </c>
      <c r="T111" s="11">
        <f t="shared" si="38"/>
        <v>0</v>
      </c>
      <c r="U111" s="11">
        <f t="shared" si="39"/>
        <v>0.2936368389</v>
      </c>
    </row>
    <row r="112">
      <c r="A112" s="6">
        <v>2015.0</v>
      </c>
      <c r="B112" s="6" t="s">
        <v>16</v>
      </c>
      <c r="C112" s="10">
        <f t="shared" si="3"/>
        <v>42064</v>
      </c>
      <c r="D112" s="6">
        <v>70.0</v>
      </c>
      <c r="E112" s="6">
        <v>636.0</v>
      </c>
      <c r="F112" s="11">
        <f t="shared" si="1"/>
        <v>706</v>
      </c>
      <c r="G112" s="12">
        <f t="shared" ref="G112:H112" si="124">G111</f>
        <v>2170.269961</v>
      </c>
      <c r="H112" s="13">
        <f t="shared" si="124"/>
        <v>2505.365899</v>
      </c>
      <c r="O112" s="6">
        <v>7.8</v>
      </c>
      <c r="P112" s="12">
        <f t="shared" si="35"/>
        <v>2991.255008</v>
      </c>
      <c r="Q112" s="17">
        <f t="shared" si="36"/>
        <v>0</v>
      </c>
      <c r="R112" s="6">
        <f t="shared" si="37"/>
        <v>0.0002024440057</v>
      </c>
      <c r="T112" s="11">
        <f t="shared" si="38"/>
        <v>0</v>
      </c>
      <c r="U112" s="11">
        <f t="shared" si="39"/>
        <v>0.2798673627</v>
      </c>
    </row>
    <row r="113">
      <c r="A113" s="6">
        <v>2015.0</v>
      </c>
      <c r="B113" s="6" t="s">
        <v>17</v>
      </c>
      <c r="C113" s="10">
        <f t="shared" si="3"/>
        <v>42095</v>
      </c>
      <c r="D113" s="6">
        <v>28.0</v>
      </c>
      <c r="E113" s="6">
        <v>783.0</v>
      </c>
      <c r="F113" s="11">
        <f t="shared" si="1"/>
        <v>811</v>
      </c>
      <c r="G113" s="12">
        <f t="shared" ref="G113:H113" si="125">G112</f>
        <v>2170.269961</v>
      </c>
      <c r="H113" s="13">
        <f t="shared" si="125"/>
        <v>2505.365899</v>
      </c>
      <c r="O113" s="6">
        <v>8.0</v>
      </c>
      <c r="P113" s="12">
        <f t="shared" si="35"/>
        <v>3008.009805</v>
      </c>
      <c r="Q113" s="17">
        <f t="shared" si="36"/>
        <v>0</v>
      </c>
      <c r="R113" s="6">
        <f t="shared" si="37"/>
        <v>0.0001927727915</v>
      </c>
      <c r="T113" s="11">
        <f t="shared" si="38"/>
        <v>0</v>
      </c>
      <c r="U113" s="11">
        <f t="shared" si="39"/>
        <v>0.2664974574</v>
      </c>
    </row>
    <row r="114">
      <c r="A114" s="6">
        <v>2015.0</v>
      </c>
      <c r="B114" s="6" t="s">
        <v>18</v>
      </c>
      <c r="C114" s="10">
        <f t="shared" si="3"/>
        <v>42125</v>
      </c>
      <c r="D114" s="6">
        <v>19.0</v>
      </c>
      <c r="E114" s="6">
        <v>614.0</v>
      </c>
      <c r="F114" s="11">
        <f t="shared" si="1"/>
        <v>633</v>
      </c>
      <c r="G114" s="12">
        <f t="shared" ref="G114:H114" si="126">G113</f>
        <v>2170.269961</v>
      </c>
      <c r="H114" s="13">
        <f t="shared" si="126"/>
        <v>2505.365899</v>
      </c>
      <c r="O114" s="6">
        <v>8.2</v>
      </c>
      <c r="P114" s="12">
        <f t="shared" si="35"/>
        <v>3024.764602</v>
      </c>
      <c r="Q114" s="17">
        <f t="shared" si="36"/>
        <v>0</v>
      </c>
      <c r="R114" s="6">
        <f t="shared" si="37"/>
        <v>0.0001833942225</v>
      </c>
      <c r="T114" s="11">
        <f t="shared" si="38"/>
        <v>0</v>
      </c>
      <c r="U114" s="11">
        <f t="shared" si="39"/>
        <v>0.2535321173</v>
      </c>
    </row>
    <row r="115">
      <c r="A115" s="6">
        <v>2015.0</v>
      </c>
      <c r="B115" s="6" t="s">
        <v>24</v>
      </c>
      <c r="C115" s="10">
        <f t="shared" si="3"/>
        <v>42156</v>
      </c>
      <c r="D115" s="6">
        <v>73.0</v>
      </c>
      <c r="E115" s="6">
        <v>800.0</v>
      </c>
      <c r="F115" s="11">
        <f t="shared" si="1"/>
        <v>873</v>
      </c>
      <c r="G115" s="12">
        <f t="shared" ref="G115:H115" si="127">G114</f>
        <v>2170.269961</v>
      </c>
      <c r="H115" s="13">
        <f t="shared" si="127"/>
        <v>2505.365899</v>
      </c>
      <c r="O115" s="6">
        <v>8.4</v>
      </c>
      <c r="P115" s="12">
        <f t="shared" si="35"/>
        <v>3041.519399</v>
      </c>
      <c r="Q115" s="17">
        <f t="shared" si="36"/>
        <v>0</v>
      </c>
      <c r="R115" s="6">
        <f t="shared" si="37"/>
        <v>0.0001743109472</v>
      </c>
      <c r="T115" s="11">
        <f t="shared" si="38"/>
        <v>0</v>
      </c>
      <c r="U115" s="11">
        <f t="shared" si="39"/>
        <v>0.240975004</v>
      </c>
    </row>
    <row r="116">
      <c r="A116" s="6">
        <v>2015.0</v>
      </c>
      <c r="B116" s="6" t="s">
        <v>25</v>
      </c>
      <c r="C116" s="10">
        <f t="shared" si="3"/>
        <v>42186</v>
      </c>
      <c r="D116" s="6">
        <v>93.0</v>
      </c>
      <c r="E116" s="6">
        <v>871.0</v>
      </c>
      <c r="F116" s="11">
        <f t="shared" si="1"/>
        <v>964</v>
      </c>
      <c r="G116" s="12">
        <f t="shared" ref="G116:H116" si="128">G115</f>
        <v>2170.269961</v>
      </c>
      <c r="H116" s="13">
        <f t="shared" si="128"/>
        <v>2505.365899</v>
      </c>
      <c r="O116" s="6">
        <v>8.6</v>
      </c>
      <c r="P116" s="12">
        <f t="shared" si="35"/>
        <v>3058.274196</v>
      </c>
      <c r="Q116" s="17">
        <f t="shared" si="36"/>
        <v>0</v>
      </c>
      <c r="R116" s="6">
        <f t="shared" si="37"/>
        <v>0.0001655246867</v>
      </c>
      <c r="T116" s="11">
        <f t="shared" si="38"/>
        <v>0</v>
      </c>
      <c r="U116" s="11">
        <f t="shared" si="39"/>
        <v>0.228828497</v>
      </c>
    </row>
    <row r="117">
      <c r="A117" s="6">
        <v>2015.0</v>
      </c>
      <c r="B117" s="6" t="s">
        <v>26</v>
      </c>
      <c r="C117" s="10">
        <f t="shared" si="3"/>
        <v>42217</v>
      </c>
      <c r="D117" s="6">
        <v>25.0</v>
      </c>
      <c r="E117" s="6">
        <v>923.0</v>
      </c>
      <c r="F117" s="11">
        <f t="shared" si="1"/>
        <v>948</v>
      </c>
      <c r="G117" s="12">
        <f t="shared" ref="G117:H117" si="129">G116</f>
        <v>2170.269961</v>
      </c>
      <c r="H117" s="13">
        <f t="shared" si="129"/>
        <v>2505.365899</v>
      </c>
      <c r="O117" s="6">
        <v>8.8</v>
      </c>
      <c r="P117" s="12">
        <f t="shared" si="35"/>
        <v>3075.028993</v>
      </c>
      <c r="Q117" s="17">
        <f t="shared" si="36"/>
        <v>0</v>
      </c>
      <c r="R117" s="6">
        <f t="shared" si="37"/>
        <v>0.0001570362753</v>
      </c>
      <c r="T117" s="11">
        <f t="shared" si="38"/>
        <v>0</v>
      </c>
      <c r="U117" s="11">
        <f t="shared" si="39"/>
        <v>0.2170937493</v>
      </c>
    </row>
    <row r="118">
      <c r="A118" s="6">
        <v>2015.0</v>
      </c>
      <c r="B118" s="6" t="s">
        <v>27</v>
      </c>
      <c r="C118" s="10">
        <f t="shared" si="3"/>
        <v>42248</v>
      </c>
      <c r="D118" s="6">
        <v>88.0</v>
      </c>
      <c r="E118" s="6">
        <v>822.0</v>
      </c>
      <c r="F118" s="11">
        <f t="shared" si="1"/>
        <v>910</v>
      </c>
      <c r="G118" s="12">
        <f t="shared" ref="G118:H118" si="130">G117</f>
        <v>2170.269961</v>
      </c>
      <c r="H118" s="13">
        <f t="shared" si="130"/>
        <v>2505.365899</v>
      </c>
      <c r="O118" s="6">
        <v>9.0</v>
      </c>
      <c r="P118" s="12">
        <f t="shared" si="35"/>
        <v>3091.78379</v>
      </c>
      <c r="Q118" s="17">
        <f t="shared" si="36"/>
        <v>0</v>
      </c>
      <c r="R118" s="6">
        <f t="shared" si="37"/>
        <v>0.0001488457011</v>
      </c>
      <c r="T118" s="11">
        <f t="shared" si="38"/>
        <v>0</v>
      </c>
      <c r="U118" s="11">
        <f t="shared" si="39"/>
        <v>0.2057707448</v>
      </c>
    </row>
    <row r="119">
      <c r="A119" s="6">
        <v>2015.0</v>
      </c>
      <c r="B119" s="6" t="s">
        <v>28</v>
      </c>
      <c r="C119" s="10">
        <f t="shared" si="3"/>
        <v>42278</v>
      </c>
      <c r="D119" s="6">
        <v>21.0</v>
      </c>
      <c r="E119" s="6">
        <v>731.0</v>
      </c>
      <c r="F119" s="11">
        <f t="shared" si="1"/>
        <v>752</v>
      </c>
      <c r="G119" s="12">
        <f t="shared" ref="G119:H119" si="131">G118</f>
        <v>2170.269961</v>
      </c>
      <c r="H119" s="13">
        <f t="shared" si="131"/>
        <v>2505.365899</v>
      </c>
      <c r="O119" s="6">
        <v>9.2</v>
      </c>
      <c r="P119" s="12">
        <f t="shared" si="35"/>
        <v>3108.538587</v>
      </c>
      <c r="Q119" s="17">
        <f t="shared" si="36"/>
        <v>0</v>
      </c>
      <c r="R119" s="6">
        <f t="shared" si="37"/>
        <v>0.0001409521502</v>
      </c>
      <c r="T119" s="11">
        <f t="shared" si="38"/>
        <v>0</v>
      </c>
      <c r="U119" s="11">
        <f t="shared" si="39"/>
        <v>0.1948583581</v>
      </c>
    </row>
    <row r="120">
      <c r="A120" s="6">
        <v>2015.0</v>
      </c>
      <c r="B120" s="6" t="s">
        <v>29</v>
      </c>
      <c r="C120" s="10">
        <f t="shared" si="3"/>
        <v>42309</v>
      </c>
      <c r="D120" s="6">
        <v>53.0</v>
      </c>
      <c r="E120" s="6">
        <v>483.0</v>
      </c>
      <c r="F120" s="11">
        <f t="shared" si="1"/>
        <v>536</v>
      </c>
      <c r="G120" s="12">
        <f t="shared" ref="G120:H120" si="132">G119</f>
        <v>2170.269961</v>
      </c>
      <c r="H120" s="13">
        <f t="shared" si="132"/>
        <v>2505.365899</v>
      </c>
    </row>
    <row r="121">
      <c r="A121" s="6">
        <v>2015.0</v>
      </c>
      <c r="B121" s="6" t="s">
        <v>30</v>
      </c>
      <c r="C121" s="10">
        <f t="shared" si="3"/>
        <v>42339</v>
      </c>
      <c r="D121" s="6">
        <v>51.0</v>
      </c>
      <c r="E121" s="6">
        <v>357.0</v>
      </c>
      <c r="F121" s="11">
        <f t="shared" si="1"/>
        <v>408</v>
      </c>
      <c r="G121" s="12">
        <f t="shared" ref="G121:H121" si="133">G120</f>
        <v>2170.269961</v>
      </c>
      <c r="H121" s="13">
        <f t="shared" si="133"/>
        <v>2505.365899</v>
      </c>
    </row>
    <row r="122">
      <c r="A122" s="6">
        <v>2016.0</v>
      </c>
      <c r="B122" s="6" t="s">
        <v>14</v>
      </c>
      <c r="C122" s="10">
        <f t="shared" si="3"/>
        <v>42370</v>
      </c>
      <c r="D122" s="6">
        <v>29.0</v>
      </c>
      <c r="E122" s="6">
        <v>355.0</v>
      </c>
      <c r="F122" s="11">
        <f t="shared" si="1"/>
        <v>384</v>
      </c>
      <c r="G122" s="12">
        <f t="shared" ref="G122:H122" si="134">G121</f>
        <v>2170.269961</v>
      </c>
      <c r="H122" s="13">
        <f t="shared" si="134"/>
        <v>2505.365899</v>
      </c>
    </row>
    <row r="123">
      <c r="A123" s="6">
        <v>2016.0</v>
      </c>
      <c r="B123" s="6" t="s">
        <v>15</v>
      </c>
      <c r="C123" s="10">
        <f t="shared" si="3"/>
        <v>42401</v>
      </c>
      <c r="D123" s="6">
        <v>22.0</v>
      </c>
      <c r="E123" s="6">
        <v>464.0</v>
      </c>
      <c r="F123" s="11">
        <f t="shared" si="1"/>
        <v>486</v>
      </c>
      <c r="G123" s="12">
        <f t="shared" ref="G123:H123" si="135">G122</f>
        <v>2170.269961</v>
      </c>
      <c r="H123" s="13">
        <f t="shared" si="135"/>
        <v>2505.365899</v>
      </c>
    </row>
    <row r="124">
      <c r="A124" s="6">
        <v>2016.0</v>
      </c>
      <c r="B124" s="6" t="s">
        <v>16</v>
      </c>
      <c r="C124" s="10">
        <f t="shared" si="3"/>
        <v>42430</v>
      </c>
      <c r="D124" s="6">
        <v>95.0</v>
      </c>
      <c r="E124" s="6">
        <v>595.0</v>
      </c>
      <c r="F124" s="11">
        <f t="shared" si="1"/>
        <v>690</v>
      </c>
      <c r="G124" s="12">
        <f t="shared" ref="G124:H124" si="136">G123</f>
        <v>2170.269961</v>
      </c>
      <c r="H124" s="13">
        <f t="shared" si="136"/>
        <v>2505.365899</v>
      </c>
    </row>
    <row r="125">
      <c r="A125" s="6">
        <v>2016.0</v>
      </c>
      <c r="B125" s="6" t="s">
        <v>17</v>
      </c>
      <c r="C125" s="10">
        <f t="shared" si="3"/>
        <v>42461</v>
      </c>
      <c r="D125" s="6">
        <v>17.0</v>
      </c>
      <c r="E125" s="6">
        <v>700.0</v>
      </c>
      <c r="F125" s="11">
        <f t="shared" si="1"/>
        <v>717</v>
      </c>
      <c r="G125" s="12">
        <f t="shared" ref="G125:H125" si="137">G124</f>
        <v>2170.269961</v>
      </c>
      <c r="H125" s="13">
        <f t="shared" si="137"/>
        <v>2505.365899</v>
      </c>
    </row>
    <row r="126">
      <c r="A126" s="6">
        <v>2016.0</v>
      </c>
      <c r="B126" s="6" t="s">
        <v>18</v>
      </c>
      <c r="C126" s="10">
        <f t="shared" si="3"/>
        <v>42491</v>
      </c>
      <c r="D126" s="6">
        <v>63.0</v>
      </c>
      <c r="E126" s="6">
        <v>786.0</v>
      </c>
      <c r="F126" s="11">
        <f t="shared" si="1"/>
        <v>849</v>
      </c>
      <c r="G126" s="12">
        <f t="shared" ref="G126:H126" si="138">G125</f>
        <v>2170.269961</v>
      </c>
      <c r="H126" s="13">
        <f t="shared" si="138"/>
        <v>2505.365899</v>
      </c>
    </row>
    <row r="127">
      <c r="A127" s="6">
        <v>2016.0</v>
      </c>
      <c r="B127" s="6" t="s">
        <v>24</v>
      </c>
      <c r="C127" s="10">
        <f t="shared" si="3"/>
        <v>42522</v>
      </c>
      <c r="D127" s="6">
        <v>78.0</v>
      </c>
      <c r="E127" s="6">
        <v>1124.0</v>
      </c>
      <c r="F127" s="11">
        <f t="shared" si="1"/>
        <v>1202</v>
      </c>
      <c r="G127" s="12">
        <f t="shared" ref="G127:H127" si="139">G126</f>
        <v>2170.269961</v>
      </c>
      <c r="H127" s="13">
        <f t="shared" si="139"/>
        <v>2505.365899</v>
      </c>
    </row>
    <row r="128">
      <c r="A128" s="6">
        <v>2016.0</v>
      </c>
      <c r="B128" s="6" t="s">
        <v>25</v>
      </c>
      <c r="C128" s="10">
        <f t="shared" si="3"/>
        <v>42552</v>
      </c>
      <c r="D128" s="6">
        <v>76.0</v>
      </c>
      <c r="E128" s="6">
        <v>1007.0</v>
      </c>
      <c r="F128" s="11">
        <f t="shared" si="1"/>
        <v>1083</v>
      </c>
      <c r="G128" s="12">
        <f t="shared" ref="G128:H128" si="140">G127</f>
        <v>2170.269961</v>
      </c>
      <c r="H128" s="13">
        <f t="shared" si="140"/>
        <v>2505.365899</v>
      </c>
    </row>
    <row r="129">
      <c r="A129" s="6">
        <v>2016.0</v>
      </c>
      <c r="B129" s="6" t="s">
        <v>26</v>
      </c>
      <c r="C129" s="10">
        <f t="shared" si="3"/>
        <v>42583</v>
      </c>
      <c r="D129" s="6">
        <v>107.0</v>
      </c>
      <c r="E129" s="6">
        <v>1235.0</v>
      </c>
      <c r="F129" s="11">
        <f t="shared" si="1"/>
        <v>1342</v>
      </c>
      <c r="G129" s="12">
        <f t="shared" ref="G129:H129" si="141">G128</f>
        <v>2170.269961</v>
      </c>
      <c r="H129" s="13">
        <f t="shared" si="141"/>
        <v>2505.365899</v>
      </c>
    </row>
    <row r="130">
      <c r="A130" s="6">
        <v>2016.0</v>
      </c>
      <c r="B130" s="6" t="s">
        <v>27</v>
      </c>
      <c r="C130" s="10">
        <f t="shared" si="3"/>
        <v>42614</v>
      </c>
      <c r="D130" s="6">
        <v>101.0</v>
      </c>
      <c r="E130" s="6">
        <v>1169.0</v>
      </c>
      <c r="F130" s="11">
        <f t="shared" si="1"/>
        <v>1270</v>
      </c>
      <c r="G130" s="12">
        <f t="shared" ref="G130:H130" si="142">G129</f>
        <v>2170.269961</v>
      </c>
      <c r="H130" s="13">
        <f t="shared" si="142"/>
        <v>2505.365899</v>
      </c>
    </row>
    <row r="131">
      <c r="A131" s="6">
        <v>2016.0</v>
      </c>
      <c r="B131" s="6" t="s">
        <v>28</v>
      </c>
      <c r="C131" s="10">
        <f t="shared" si="3"/>
        <v>42644</v>
      </c>
      <c r="D131" s="6">
        <v>88.0</v>
      </c>
      <c r="E131" s="6">
        <v>1245.0</v>
      </c>
      <c r="F131" s="11">
        <f t="shared" si="1"/>
        <v>1333</v>
      </c>
      <c r="G131" s="12">
        <f t="shared" ref="G131:H131" si="143">G130</f>
        <v>2170.269961</v>
      </c>
      <c r="H131" s="13">
        <f t="shared" si="143"/>
        <v>2505.365899</v>
      </c>
    </row>
    <row r="132">
      <c r="A132" s="6">
        <v>2016.0</v>
      </c>
      <c r="B132" s="6" t="s">
        <v>29</v>
      </c>
      <c r="C132" s="10">
        <f t="shared" si="3"/>
        <v>42675</v>
      </c>
      <c r="D132" s="6">
        <v>67.0</v>
      </c>
      <c r="E132" s="6">
        <v>1084.0</v>
      </c>
      <c r="F132" s="11">
        <f t="shared" si="1"/>
        <v>1151</v>
      </c>
      <c r="G132" s="12">
        <f t="shared" ref="G132:H132" si="144">G131</f>
        <v>2170.269961</v>
      </c>
      <c r="H132" s="13">
        <f t="shared" si="144"/>
        <v>2505.365899</v>
      </c>
    </row>
    <row r="133">
      <c r="A133" s="6">
        <v>2016.0</v>
      </c>
      <c r="B133" s="6" t="s">
        <v>30</v>
      </c>
      <c r="C133" s="10">
        <f t="shared" si="3"/>
        <v>42705</v>
      </c>
      <c r="D133" s="6">
        <v>55.0</v>
      </c>
      <c r="E133" s="6">
        <v>743.0</v>
      </c>
      <c r="F133" s="11">
        <f t="shared" si="1"/>
        <v>798</v>
      </c>
      <c r="G133" s="12">
        <f t="shared" ref="G133:H133" si="145">G132</f>
        <v>2170.269961</v>
      </c>
      <c r="H133" s="13">
        <f t="shared" si="145"/>
        <v>2505.365899</v>
      </c>
    </row>
    <row r="134">
      <c r="A134" s="6">
        <v>2017.0</v>
      </c>
      <c r="B134" s="6" t="s">
        <v>14</v>
      </c>
      <c r="C134" s="10">
        <f t="shared" si="3"/>
        <v>42736</v>
      </c>
      <c r="D134" s="6">
        <v>57.0</v>
      </c>
      <c r="E134" s="6">
        <v>619.0</v>
      </c>
      <c r="F134" s="11">
        <f t="shared" si="1"/>
        <v>676</v>
      </c>
      <c r="G134" s="12">
        <f t="shared" ref="G134:H134" si="146">G133</f>
        <v>2170.269961</v>
      </c>
      <c r="H134" s="13">
        <f t="shared" si="146"/>
        <v>2505.365899</v>
      </c>
    </row>
    <row r="135">
      <c r="A135" s="6">
        <v>2017.0</v>
      </c>
      <c r="B135" s="6" t="s">
        <v>15</v>
      </c>
      <c r="C135" s="10">
        <f t="shared" si="3"/>
        <v>42767</v>
      </c>
      <c r="D135" s="6">
        <v>114.0</v>
      </c>
      <c r="E135" s="6">
        <v>776.0</v>
      </c>
      <c r="F135" s="11">
        <f t="shared" si="1"/>
        <v>890</v>
      </c>
      <c r="G135" s="12">
        <f t="shared" ref="G135:H135" si="147">G134</f>
        <v>2170.269961</v>
      </c>
      <c r="H135" s="13">
        <f t="shared" si="147"/>
        <v>2505.365899</v>
      </c>
    </row>
    <row r="136">
      <c r="A136" s="6">
        <v>2017.0</v>
      </c>
      <c r="B136" s="6" t="s">
        <v>16</v>
      </c>
      <c r="C136" s="10">
        <f t="shared" si="3"/>
        <v>42795</v>
      </c>
      <c r="D136" s="6">
        <v>111.0</v>
      </c>
      <c r="E136" s="6">
        <v>1200.0</v>
      </c>
      <c r="F136" s="11">
        <f t="shared" si="1"/>
        <v>1311</v>
      </c>
      <c r="G136" s="12">
        <f t="shared" ref="G136:H136" si="148">G135</f>
        <v>2170.269961</v>
      </c>
      <c r="H136" s="13">
        <f t="shared" si="148"/>
        <v>2505.365899</v>
      </c>
    </row>
    <row r="137">
      <c r="A137" s="6">
        <v>2017.0</v>
      </c>
      <c r="B137" s="6" t="s">
        <v>17</v>
      </c>
      <c r="C137" s="10">
        <f t="shared" si="3"/>
        <v>42826</v>
      </c>
      <c r="D137" s="6">
        <v>62.0</v>
      </c>
      <c r="E137" s="6">
        <v>1186.0</v>
      </c>
      <c r="F137" s="11">
        <f t="shared" si="1"/>
        <v>1248</v>
      </c>
      <c r="G137" s="12">
        <f t="shared" ref="G137:H137" si="149">G136</f>
        <v>2170.269961</v>
      </c>
      <c r="H137" s="13">
        <f t="shared" si="149"/>
        <v>2505.365899</v>
      </c>
    </row>
    <row r="138">
      <c r="A138" s="6">
        <v>2017.0</v>
      </c>
      <c r="B138" s="6" t="s">
        <v>18</v>
      </c>
      <c r="C138" s="10">
        <f t="shared" si="3"/>
        <v>42856</v>
      </c>
      <c r="D138" s="6">
        <v>12.0</v>
      </c>
      <c r="E138" s="6">
        <v>1028.0</v>
      </c>
      <c r="F138" s="11">
        <f t="shared" si="1"/>
        <v>1040</v>
      </c>
      <c r="G138" s="12">
        <f t="shared" ref="G138:H138" si="150">G137</f>
        <v>2170.269961</v>
      </c>
      <c r="H138" s="13">
        <f t="shared" si="150"/>
        <v>2505.365899</v>
      </c>
    </row>
    <row r="139">
      <c r="A139" s="6">
        <v>2017.0</v>
      </c>
      <c r="B139" s="6" t="s">
        <v>24</v>
      </c>
      <c r="C139" s="10">
        <f t="shared" si="3"/>
        <v>42887</v>
      </c>
      <c r="D139" s="6">
        <v>73.0</v>
      </c>
      <c r="E139" s="6">
        <v>1380.0</v>
      </c>
      <c r="F139" s="11">
        <f t="shared" si="1"/>
        <v>1453</v>
      </c>
      <c r="G139" s="12">
        <f t="shared" ref="G139:H139" si="151">G138</f>
        <v>2170.269961</v>
      </c>
      <c r="H139" s="13">
        <f t="shared" si="151"/>
        <v>2505.365899</v>
      </c>
    </row>
    <row r="140">
      <c r="A140" s="6">
        <v>2017.0</v>
      </c>
      <c r="B140" s="6" t="s">
        <v>25</v>
      </c>
      <c r="C140" s="10">
        <f t="shared" si="3"/>
        <v>42917</v>
      </c>
      <c r="D140" s="6">
        <v>12.0</v>
      </c>
      <c r="E140" s="6">
        <v>1255.0</v>
      </c>
      <c r="F140" s="11">
        <f t="shared" si="1"/>
        <v>1267</v>
      </c>
      <c r="G140" s="12">
        <f t="shared" ref="G140:H140" si="152">G139</f>
        <v>2170.269961</v>
      </c>
      <c r="H140" s="13">
        <f t="shared" si="152"/>
        <v>2505.365899</v>
      </c>
    </row>
    <row r="141">
      <c r="A141" s="6">
        <v>2017.0</v>
      </c>
      <c r="B141" s="6" t="s">
        <v>26</v>
      </c>
      <c r="C141" s="10">
        <f t="shared" si="3"/>
        <v>42948</v>
      </c>
      <c r="D141" s="6">
        <v>37.0</v>
      </c>
      <c r="E141" s="6">
        <v>1616.0</v>
      </c>
      <c r="F141" s="11">
        <f t="shared" si="1"/>
        <v>1653</v>
      </c>
      <c r="G141" s="12">
        <f t="shared" ref="G141:H141" si="153">G140</f>
        <v>2170.269961</v>
      </c>
      <c r="H141" s="13">
        <f t="shared" si="153"/>
        <v>2505.365899</v>
      </c>
    </row>
    <row r="142">
      <c r="A142" s="6">
        <v>2017.0</v>
      </c>
      <c r="B142" s="6" t="s">
        <v>27</v>
      </c>
      <c r="C142" s="10">
        <f t="shared" si="3"/>
        <v>42979</v>
      </c>
      <c r="D142" s="6">
        <v>23.0</v>
      </c>
      <c r="E142" s="6">
        <v>1487.0</v>
      </c>
      <c r="F142" s="11">
        <f t="shared" si="1"/>
        <v>1510</v>
      </c>
      <c r="G142" s="12">
        <f t="shared" ref="G142:H142" si="154">G141</f>
        <v>2170.269961</v>
      </c>
      <c r="H142" s="13">
        <f t="shared" si="154"/>
        <v>2505.365899</v>
      </c>
    </row>
    <row r="143">
      <c r="A143" s="6">
        <v>2017.0</v>
      </c>
      <c r="B143" s="6" t="s">
        <v>28</v>
      </c>
      <c r="C143" s="10">
        <f t="shared" si="3"/>
        <v>43009</v>
      </c>
      <c r="D143" s="6">
        <v>25.0</v>
      </c>
      <c r="E143" s="6">
        <v>1272.0</v>
      </c>
      <c r="F143" s="11">
        <f t="shared" si="1"/>
        <v>1297</v>
      </c>
      <c r="G143" s="12">
        <f t="shared" ref="G143:H143" si="155">G142</f>
        <v>2170.269961</v>
      </c>
      <c r="H143" s="13">
        <f t="shared" si="155"/>
        <v>2505.365899</v>
      </c>
    </row>
    <row r="144">
      <c r="A144" s="6">
        <v>2017.0</v>
      </c>
      <c r="B144" s="6" t="s">
        <v>29</v>
      </c>
      <c r="C144" s="10">
        <f t="shared" si="3"/>
        <v>43040</v>
      </c>
      <c r="D144" s="6">
        <v>44.0</v>
      </c>
      <c r="E144" s="6">
        <v>1072.0</v>
      </c>
      <c r="F144" s="11">
        <f t="shared" si="1"/>
        <v>1116</v>
      </c>
      <c r="G144" s="12">
        <f t="shared" ref="G144:H144" si="156">G143</f>
        <v>2170.269961</v>
      </c>
      <c r="H144" s="13">
        <f t="shared" si="156"/>
        <v>2505.365899</v>
      </c>
    </row>
    <row r="145">
      <c r="A145" s="6">
        <v>2017.0</v>
      </c>
      <c r="B145" s="6" t="s">
        <v>30</v>
      </c>
      <c r="C145" s="10">
        <f t="shared" si="3"/>
        <v>43070</v>
      </c>
      <c r="D145" s="6">
        <v>35.0</v>
      </c>
      <c r="E145" s="6">
        <v>834.0</v>
      </c>
      <c r="F145" s="11">
        <f t="shared" si="1"/>
        <v>869</v>
      </c>
      <c r="G145" s="12">
        <f t="shared" ref="G145:H145" si="157">G144</f>
        <v>2170.269961</v>
      </c>
      <c r="H145" s="13">
        <f t="shared" si="157"/>
        <v>2505.365899</v>
      </c>
    </row>
    <row r="146">
      <c r="A146" s="6">
        <v>2018.0</v>
      </c>
      <c r="B146" s="6" t="s">
        <v>14</v>
      </c>
      <c r="C146" s="10">
        <f t="shared" si="3"/>
        <v>43101</v>
      </c>
      <c r="D146" s="6">
        <v>78.0</v>
      </c>
      <c r="E146" s="6">
        <v>839.0</v>
      </c>
      <c r="F146" s="11">
        <f t="shared" si="1"/>
        <v>917</v>
      </c>
      <c r="G146" s="12">
        <f t="shared" ref="G146:H146" si="158">G145</f>
        <v>2170.269961</v>
      </c>
      <c r="H146" s="13">
        <f t="shared" si="158"/>
        <v>2505.365899</v>
      </c>
    </row>
    <row r="147">
      <c r="A147" s="6">
        <v>2018.0</v>
      </c>
      <c r="B147" s="6" t="s">
        <v>15</v>
      </c>
      <c r="C147" s="10">
        <f t="shared" si="3"/>
        <v>43132</v>
      </c>
      <c r="D147" s="6">
        <v>97.0</v>
      </c>
      <c r="E147" s="6">
        <v>693.0</v>
      </c>
      <c r="F147" s="11">
        <f t="shared" si="1"/>
        <v>790</v>
      </c>
      <c r="G147" s="12">
        <f t="shared" ref="G147:H147" si="159">G146</f>
        <v>2170.269961</v>
      </c>
      <c r="H147" s="13">
        <f t="shared" si="159"/>
        <v>2505.365899</v>
      </c>
    </row>
    <row r="148">
      <c r="A148" s="6">
        <v>2018.0</v>
      </c>
      <c r="B148" s="6" t="s">
        <v>16</v>
      </c>
      <c r="C148" s="10">
        <f t="shared" si="3"/>
        <v>43160</v>
      </c>
      <c r="D148" s="6">
        <v>59.0</v>
      </c>
      <c r="E148" s="6">
        <v>764.0</v>
      </c>
      <c r="F148" s="11">
        <f t="shared" si="1"/>
        <v>823</v>
      </c>
      <c r="G148" s="12">
        <f t="shared" ref="G148:H148" si="160">G147</f>
        <v>2170.269961</v>
      </c>
      <c r="H148" s="13">
        <f t="shared" si="160"/>
        <v>2505.365899</v>
      </c>
    </row>
    <row r="149">
      <c r="A149" s="6">
        <v>2018.0</v>
      </c>
      <c r="B149" s="6" t="s">
        <v>17</v>
      </c>
      <c r="C149" s="10">
        <f t="shared" si="3"/>
        <v>43191</v>
      </c>
      <c r="D149" s="6">
        <v>76.0</v>
      </c>
      <c r="E149" s="6">
        <v>1185.0</v>
      </c>
      <c r="F149" s="11">
        <f t="shared" si="1"/>
        <v>1261</v>
      </c>
      <c r="G149" s="12">
        <f t="shared" ref="G149:H149" si="161">G148</f>
        <v>2170.269961</v>
      </c>
      <c r="H149" s="13">
        <f t="shared" si="161"/>
        <v>2505.365899</v>
      </c>
    </row>
    <row r="150">
      <c r="A150" s="6">
        <v>2018.0</v>
      </c>
      <c r="B150" s="6" t="s">
        <v>18</v>
      </c>
      <c r="C150" s="10">
        <f t="shared" si="3"/>
        <v>43221</v>
      </c>
      <c r="D150" s="6">
        <v>101.0</v>
      </c>
      <c r="E150" s="6">
        <v>1463.0</v>
      </c>
      <c r="F150" s="11">
        <f t="shared" si="1"/>
        <v>1564</v>
      </c>
      <c r="G150" s="12">
        <f t="shared" ref="G150:H150" si="162">G149</f>
        <v>2170.269961</v>
      </c>
      <c r="H150" s="13">
        <f t="shared" si="162"/>
        <v>2505.365899</v>
      </c>
    </row>
    <row r="151">
      <c r="A151" s="6">
        <v>2018.0</v>
      </c>
      <c r="B151" s="6" t="s">
        <v>24</v>
      </c>
      <c r="C151" s="10">
        <f t="shared" si="3"/>
        <v>43252</v>
      </c>
      <c r="D151" s="6">
        <v>127.0</v>
      </c>
      <c r="E151" s="6">
        <v>1292.0</v>
      </c>
      <c r="F151" s="11">
        <f t="shared" si="1"/>
        <v>1419</v>
      </c>
      <c r="G151" s="12">
        <f t="shared" ref="G151:H151" si="163">G150</f>
        <v>2170.269961</v>
      </c>
      <c r="H151" s="13">
        <f t="shared" si="163"/>
        <v>2505.365899</v>
      </c>
    </row>
    <row r="152">
      <c r="A152" s="6">
        <v>2018.0</v>
      </c>
      <c r="B152" s="6" t="s">
        <v>25</v>
      </c>
      <c r="C152" s="10">
        <f t="shared" si="3"/>
        <v>43282</v>
      </c>
      <c r="D152" s="6">
        <v>108.0</v>
      </c>
      <c r="E152" s="6">
        <v>1372.0</v>
      </c>
      <c r="F152" s="11">
        <f t="shared" si="1"/>
        <v>1480</v>
      </c>
      <c r="G152" s="12">
        <f t="shared" ref="G152:H152" si="164">G151</f>
        <v>2170.269961</v>
      </c>
      <c r="H152" s="13">
        <f t="shared" si="164"/>
        <v>2505.365899</v>
      </c>
    </row>
    <row r="153">
      <c r="A153" s="6">
        <v>2018.0</v>
      </c>
      <c r="B153" s="6" t="s">
        <v>26</v>
      </c>
      <c r="C153" s="10">
        <f t="shared" si="3"/>
        <v>43313</v>
      </c>
      <c r="D153" s="6">
        <v>103.0</v>
      </c>
      <c r="E153" s="6">
        <v>1390.0</v>
      </c>
      <c r="F153" s="11">
        <f t="shared" si="1"/>
        <v>1493</v>
      </c>
      <c r="G153" s="12">
        <f t="shared" ref="G153:H153" si="165">G152</f>
        <v>2170.269961</v>
      </c>
      <c r="H153" s="13">
        <f t="shared" si="165"/>
        <v>2505.365899</v>
      </c>
    </row>
    <row r="154">
      <c r="A154" s="6">
        <v>2018.0</v>
      </c>
      <c r="B154" s="6" t="s">
        <v>27</v>
      </c>
      <c r="C154" s="10">
        <f t="shared" si="3"/>
        <v>43344</v>
      </c>
      <c r="D154" s="6">
        <v>103.0</v>
      </c>
      <c r="E154" s="6">
        <v>1193.0</v>
      </c>
      <c r="F154" s="11">
        <f t="shared" si="1"/>
        <v>1296</v>
      </c>
      <c r="G154" s="12">
        <f t="shared" ref="G154:H154" si="166">G153</f>
        <v>2170.269961</v>
      </c>
      <c r="H154" s="13">
        <f t="shared" si="166"/>
        <v>2505.365899</v>
      </c>
    </row>
    <row r="155">
      <c r="A155" s="6">
        <v>2018.0</v>
      </c>
      <c r="B155" s="6" t="s">
        <v>28</v>
      </c>
      <c r="C155" s="10">
        <f t="shared" si="3"/>
        <v>43374</v>
      </c>
      <c r="D155" s="6">
        <v>88.0</v>
      </c>
      <c r="E155" s="6">
        <v>1259.0</v>
      </c>
      <c r="F155" s="11">
        <f t="shared" si="1"/>
        <v>1347</v>
      </c>
      <c r="G155" s="12">
        <f t="shared" ref="G155:H155" si="167">G154</f>
        <v>2170.269961</v>
      </c>
      <c r="H155" s="13">
        <f t="shared" si="167"/>
        <v>2505.365899</v>
      </c>
    </row>
    <row r="156">
      <c r="A156" s="6">
        <v>2018.0</v>
      </c>
      <c r="B156" s="6" t="s">
        <v>29</v>
      </c>
      <c r="C156" s="10">
        <f t="shared" si="3"/>
        <v>43405</v>
      </c>
      <c r="D156" s="6">
        <v>82.0</v>
      </c>
      <c r="E156" s="6">
        <v>1113.0</v>
      </c>
      <c r="F156" s="11">
        <f t="shared" si="1"/>
        <v>1195</v>
      </c>
      <c r="G156" s="12">
        <f t="shared" ref="G156:H156" si="168">G155</f>
        <v>2170.269961</v>
      </c>
      <c r="H156" s="13">
        <f t="shared" si="168"/>
        <v>2505.365899</v>
      </c>
    </row>
    <row r="157">
      <c r="A157" s="6">
        <v>2018.0</v>
      </c>
      <c r="B157" s="6" t="s">
        <v>30</v>
      </c>
      <c r="C157" s="10">
        <f t="shared" si="3"/>
        <v>43435</v>
      </c>
      <c r="D157" s="6">
        <v>122.0</v>
      </c>
      <c r="E157" s="6">
        <v>850.0</v>
      </c>
      <c r="F157" s="11">
        <f t="shared" si="1"/>
        <v>972</v>
      </c>
      <c r="G157" s="12">
        <f t="shared" ref="G157:H157" si="169">G156</f>
        <v>2170.269961</v>
      </c>
      <c r="H157" s="13">
        <f t="shared" si="169"/>
        <v>2505.365899</v>
      </c>
    </row>
    <row r="158">
      <c r="A158" s="6">
        <v>2019.0</v>
      </c>
      <c r="B158" s="6" t="s">
        <v>14</v>
      </c>
      <c r="C158" s="10">
        <f t="shared" si="3"/>
        <v>43466</v>
      </c>
      <c r="D158" s="6">
        <v>89.0</v>
      </c>
      <c r="E158" s="6">
        <v>805.0</v>
      </c>
      <c r="F158" s="11">
        <f t="shared" si="1"/>
        <v>894</v>
      </c>
      <c r="G158" s="12">
        <f t="shared" ref="G158:H158" si="170">G157</f>
        <v>2170.269961</v>
      </c>
      <c r="H158" s="13">
        <f t="shared" si="170"/>
        <v>2505.365899</v>
      </c>
    </row>
    <row r="159">
      <c r="A159" s="6">
        <v>2019.0</v>
      </c>
      <c r="B159" s="6" t="s">
        <v>15</v>
      </c>
      <c r="C159" s="10">
        <f t="shared" si="3"/>
        <v>43497</v>
      </c>
      <c r="D159" s="6">
        <v>22.0</v>
      </c>
      <c r="E159" s="6">
        <v>841.0</v>
      </c>
      <c r="F159" s="11">
        <f t="shared" si="1"/>
        <v>863</v>
      </c>
      <c r="G159" s="12">
        <f t="shared" ref="G159:H159" si="171">G158</f>
        <v>2170.269961</v>
      </c>
      <c r="H159" s="13">
        <f t="shared" si="171"/>
        <v>2505.365899</v>
      </c>
    </row>
    <row r="160">
      <c r="A160" s="6">
        <v>2019.0</v>
      </c>
      <c r="B160" s="6" t="s">
        <v>16</v>
      </c>
      <c r="C160" s="10">
        <f t="shared" si="3"/>
        <v>43525</v>
      </c>
      <c r="D160" s="6">
        <v>276.0</v>
      </c>
      <c r="E160" s="6">
        <v>808.0</v>
      </c>
      <c r="F160" s="11">
        <f t="shared" si="1"/>
        <v>1084</v>
      </c>
      <c r="G160" s="12">
        <f t="shared" ref="G160:H160" si="172">G159</f>
        <v>2170.269961</v>
      </c>
      <c r="H160" s="13">
        <f t="shared" si="172"/>
        <v>2505.365899</v>
      </c>
    </row>
    <row r="161">
      <c r="A161" s="6">
        <v>2019.0</v>
      </c>
      <c r="B161" s="6" t="s">
        <v>17</v>
      </c>
      <c r="C161" s="10">
        <f t="shared" si="3"/>
        <v>43556</v>
      </c>
      <c r="D161" s="6">
        <v>916.0</v>
      </c>
      <c r="E161" s="6">
        <v>1149.0</v>
      </c>
      <c r="F161" s="11">
        <f t="shared" si="1"/>
        <v>2065</v>
      </c>
      <c r="G161" s="12">
        <f t="shared" ref="G161:H161" si="173">G160</f>
        <v>2170.269961</v>
      </c>
      <c r="H161" s="13">
        <f t="shared" si="173"/>
        <v>2505.365899</v>
      </c>
    </row>
    <row r="162">
      <c r="A162" s="6">
        <v>2019.0</v>
      </c>
      <c r="B162" s="6" t="s">
        <v>18</v>
      </c>
      <c r="C162" s="10">
        <f t="shared" si="3"/>
        <v>43586</v>
      </c>
      <c r="D162" s="6">
        <v>1140.0</v>
      </c>
      <c r="E162" s="6">
        <v>939.0</v>
      </c>
      <c r="F162" s="11">
        <f t="shared" si="1"/>
        <v>2079</v>
      </c>
      <c r="G162" s="12">
        <f t="shared" ref="G162:H162" si="174">G161</f>
        <v>2170.269961</v>
      </c>
      <c r="H162" s="13">
        <f t="shared" si="174"/>
        <v>2505.365899</v>
      </c>
    </row>
    <row r="163">
      <c r="A163" s="6">
        <v>2019.0</v>
      </c>
      <c r="B163" s="6" t="s">
        <v>24</v>
      </c>
      <c r="C163" s="10">
        <f t="shared" si="3"/>
        <v>43617</v>
      </c>
      <c r="D163" s="6">
        <v>1029.0</v>
      </c>
      <c r="E163" s="6">
        <v>1098.0</v>
      </c>
      <c r="F163" s="11">
        <f t="shared" si="1"/>
        <v>2127</v>
      </c>
      <c r="G163" s="12">
        <f t="shared" ref="G163:H163" si="175">G162</f>
        <v>2170.269961</v>
      </c>
      <c r="H163" s="13">
        <f t="shared" si="175"/>
        <v>2505.365899</v>
      </c>
    </row>
    <row r="164">
      <c r="A164" s="6">
        <v>2019.0</v>
      </c>
      <c r="B164" s="6" t="s">
        <v>25</v>
      </c>
      <c r="C164" s="10">
        <f t="shared" si="3"/>
        <v>43647</v>
      </c>
      <c r="D164" s="6">
        <v>416.0</v>
      </c>
      <c r="E164" s="6">
        <v>1039.0</v>
      </c>
      <c r="F164" s="11">
        <f t="shared" si="1"/>
        <v>1455</v>
      </c>
      <c r="G164" s="12">
        <f t="shared" ref="G164:H164" si="176">G163</f>
        <v>2170.269961</v>
      </c>
      <c r="H164" s="13">
        <f t="shared" si="176"/>
        <v>2505.365899</v>
      </c>
    </row>
    <row r="165">
      <c r="A165" s="6">
        <v>2019.0</v>
      </c>
      <c r="B165" s="6" t="s">
        <v>26</v>
      </c>
      <c r="C165" s="10">
        <f t="shared" si="3"/>
        <v>43678</v>
      </c>
      <c r="D165" s="6">
        <v>655.0</v>
      </c>
      <c r="E165" s="6">
        <v>1339.0</v>
      </c>
      <c r="F165" s="11">
        <f t="shared" si="1"/>
        <v>1994</v>
      </c>
      <c r="G165" s="12">
        <f t="shared" ref="G165:H165" si="177">G164</f>
        <v>2170.269961</v>
      </c>
      <c r="H165" s="13">
        <f t="shared" si="177"/>
        <v>2505.365899</v>
      </c>
    </row>
    <row r="166">
      <c r="A166" s="6">
        <v>2019.0</v>
      </c>
      <c r="B166" s="6" t="s">
        <v>27</v>
      </c>
      <c r="C166" s="10">
        <f t="shared" si="3"/>
        <v>43709</v>
      </c>
      <c r="D166" s="6">
        <v>716.0</v>
      </c>
      <c r="E166" s="6">
        <v>1256.0</v>
      </c>
      <c r="F166" s="11">
        <f t="shared" si="1"/>
        <v>1972</v>
      </c>
      <c r="G166" s="12">
        <f t="shared" ref="G166:H166" si="178">G165</f>
        <v>2170.269961</v>
      </c>
      <c r="H166" s="13">
        <f t="shared" si="178"/>
        <v>2505.365899</v>
      </c>
    </row>
    <row r="167">
      <c r="A167" s="6">
        <v>2019.0</v>
      </c>
      <c r="B167" s="6" t="s">
        <v>28</v>
      </c>
      <c r="C167" s="10">
        <f t="shared" si="3"/>
        <v>43739</v>
      </c>
      <c r="D167" s="6">
        <v>699.0</v>
      </c>
      <c r="E167" s="6">
        <v>1329.0</v>
      </c>
      <c r="F167" s="11">
        <f t="shared" si="1"/>
        <v>2028</v>
      </c>
      <c r="G167" s="12">
        <f t="shared" ref="G167:H167" si="179">G166</f>
        <v>2170.269961</v>
      </c>
      <c r="H167" s="13">
        <f t="shared" si="179"/>
        <v>2505.365899</v>
      </c>
    </row>
    <row r="168">
      <c r="A168" s="6">
        <v>2019.0</v>
      </c>
      <c r="B168" s="6" t="s">
        <v>29</v>
      </c>
      <c r="C168" s="10">
        <f t="shared" si="3"/>
        <v>43770</v>
      </c>
      <c r="D168" s="6">
        <v>579.0</v>
      </c>
      <c r="E168" s="6">
        <v>1114.0</v>
      </c>
      <c r="F168" s="11">
        <f t="shared" si="1"/>
        <v>1693</v>
      </c>
      <c r="G168" s="12">
        <f t="shared" ref="G168:H168" si="180">G167</f>
        <v>2170.269961</v>
      </c>
      <c r="H168" s="13">
        <f t="shared" si="180"/>
        <v>2505.365899</v>
      </c>
    </row>
    <row r="169">
      <c r="A169" s="6">
        <v>2019.0</v>
      </c>
      <c r="B169" s="6" t="s">
        <v>30</v>
      </c>
      <c r="C169" s="10">
        <f t="shared" si="3"/>
        <v>43800</v>
      </c>
      <c r="D169" s="6">
        <v>270.0</v>
      </c>
      <c r="E169" s="6">
        <v>964.0</v>
      </c>
      <c r="F169" s="11">
        <f t="shared" si="1"/>
        <v>1234</v>
      </c>
      <c r="G169" s="12">
        <f t="shared" ref="G169:H169" si="181">G168</f>
        <v>2170.269961</v>
      </c>
      <c r="H169" s="13">
        <f t="shared" si="181"/>
        <v>2505.365899</v>
      </c>
    </row>
    <row r="170">
      <c r="A170" s="6">
        <v>2020.0</v>
      </c>
      <c r="B170" s="6" t="s">
        <v>14</v>
      </c>
      <c r="C170" s="10">
        <f t="shared" si="3"/>
        <v>43831</v>
      </c>
      <c r="D170" s="6">
        <v>546.0</v>
      </c>
      <c r="E170" s="6">
        <v>1006.0</v>
      </c>
      <c r="F170" s="11">
        <f t="shared" si="1"/>
        <v>1552</v>
      </c>
      <c r="G170" s="12">
        <f t="shared" ref="G170:H170" si="182">G169</f>
        <v>2170.269961</v>
      </c>
      <c r="H170" s="13">
        <f t="shared" si="182"/>
        <v>2505.365899</v>
      </c>
    </row>
    <row r="171">
      <c r="A171" s="6">
        <v>2020.0</v>
      </c>
      <c r="B171" s="6" t="s">
        <v>15</v>
      </c>
      <c r="C171" s="10">
        <f t="shared" si="3"/>
        <v>43862</v>
      </c>
      <c r="D171" s="6">
        <v>447.0</v>
      </c>
      <c r="E171" s="6">
        <v>576.0</v>
      </c>
      <c r="F171" s="11">
        <f t="shared" si="1"/>
        <v>1023</v>
      </c>
      <c r="G171" s="12">
        <f t="shared" ref="G171:H171" si="183">G170</f>
        <v>2170.269961</v>
      </c>
      <c r="H171" s="13">
        <f t="shared" si="183"/>
        <v>2505.365899</v>
      </c>
    </row>
    <row r="172">
      <c r="A172" s="6">
        <v>2020.0</v>
      </c>
      <c r="B172" s="6" t="s">
        <v>16</v>
      </c>
      <c r="C172" s="10">
        <f t="shared" si="3"/>
        <v>43891</v>
      </c>
      <c r="D172" s="6">
        <v>1206.0</v>
      </c>
      <c r="E172" s="6">
        <v>1114.0</v>
      </c>
      <c r="F172" s="11">
        <f t="shared" si="1"/>
        <v>2320</v>
      </c>
      <c r="G172" s="12">
        <f t="shared" ref="G172:H172" si="184">G171</f>
        <v>2170.269961</v>
      </c>
      <c r="H172" s="13">
        <f t="shared" si="184"/>
        <v>2505.365899</v>
      </c>
    </row>
    <row r="173">
      <c r="A173" s="6">
        <v>2020.0</v>
      </c>
      <c r="B173" s="6" t="s">
        <v>17</v>
      </c>
      <c r="C173" s="10">
        <f t="shared" si="3"/>
        <v>43922</v>
      </c>
      <c r="D173" s="6">
        <v>1043.0</v>
      </c>
      <c r="E173" s="6">
        <v>1362.0</v>
      </c>
      <c r="F173" s="11">
        <f t="shared" si="1"/>
        <v>2405</v>
      </c>
      <c r="G173" s="12">
        <f t="shared" ref="G173:H173" si="185">G172</f>
        <v>2170.269961</v>
      </c>
      <c r="H173" s="13">
        <f t="shared" si="185"/>
        <v>2505.365899</v>
      </c>
    </row>
    <row r="174">
      <c r="A174" s="6">
        <v>2020.0</v>
      </c>
      <c r="B174" s="6" t="s">
        <v>18</v>
      </c>
      <c r="C174" s="10">
        <f t="shared" si="3"/>
        <v>43952</v>
      </c>
      <c r="D174" s="6">
        <v>521.0</v>
      </c>
      <c r="E174" s="6">
        <v>1426.0</v>
      </c>
      <c r="F174" s="11">
        <f t="shared" si="1"/>
        <v>1947</v>
      </c>
      <c r="G174" s="12">
        <f t="shared" ref="G174:H174" si="186">G173</f>
        <v>2170.269961</v>
      </c>
      <c r="H174" s="13">
        <f t="shared" si="186"/>
        <v>2505.365899</v>
      </c>
    </row>
    <row r="175">
      <c r="A175" s="6">
        <v>2020.0</v>
      </c>
      <c r="B175" s="6" t="s">
        <v>24</v>
      </c>
      <c r="C175" s="10">
        <f t="shared" si="3"/>
        <v>43983</v>
      </c>
      <c r="D175" s="6">
        <v>982.0</v>
      </c>
      <c r="E175" s="6">
        <v>1511.0</v>
      </c>
      <c r="F175" s="11">
        <f t="shared" si="1"/>
        <v>2493</v>
      </c>
      <c r="G175" s="12">
        <f t="shared" ref="G175:H175" si="187">G174</f>
        <v>2170.269961</v>
      </c>
      <c r="H175" s="13">
        <f t="shared" si="187"/>
        <v>2505.365899</v>
      </c>
    </row>
    <row r="176">
      <c r="A176" s="6">
        <v>2020.0</v>
      </c>
      <c r="B176" s="6" t="s">
        <v>25</v>
      </c>
      <c r="C176" s="10">
        <f t="shared" si="3"/>
        <v>44013</v>
      </c>
      <c r="D176" s="6">
        <v>1404.0</v>
      </c>
      <c r="E176" s="6">
        <v>1584.0</v>
      </c>
      <c r="F176" s="11">
        <f t="shared" si="1"/>
        <v>2988</v>
      </c>
      <c r="G176" s="12">
        <f t="shared" ref="G176:H176" si="188">G175</f>
        <v>2170.269961</v>
      </c>
      <c r="H176" s="13">
        <f t="shared" si="188"/>
        <v>2505.365899</v>
      </c>
    </row>
    <row r="177">
      <c r="A177" s="6">
        <v>2020.0</v>
      </c>
      <c r="B177" s="6" t="s">
        <v>26</v>
      </c>
      <c r="C177" s="10">
        <f t="shared" si="3"/>
        <v>44044</v>
      </c>
      <c r="D177" s="6">
        <v>1521.0</v>
      </c>
      <c r="E177" s="6">
        <v>1545.0</v>
      </c>
      <c r="F177" s="11">
        <f t="shared" si="1"/>
        <v>3066</v>
      </c>
      <c r="G177" s="12">
        <f t="shared" ref="G177:H177" si="189">G176</f>
        <v>2170.269961</v>
      </c>
      <c r="H177" s="13">
        <f t="shared" si="189"/>
        <v>2505.365899</v>
      </c>
    </row>
    <row r="178">
      <c r="A178" s="6">
        <v>2020.0</v>
      </c>
      <c r="B178" s="6" t="s">
        <v>27</v>
      </c>
      <c r="C178" s="10">
        <f t="shared" si="3"/>
        <v>44075</v>
      </c>
      <c r="D178" s="6">
        <v>1394.0</v>
      </c>
      <c r="E178" s="6">
        <v>1499.0</v>
      </c>
      <c r="F178" s="11">
        <f t="shared" si="1"/>
        <v>2893</v>
      </c>
      <c r="G178" s="12">
        <f t="shared" ref="G178:H178" si="190">G177</f>
        <v>2170.269961</v>
      </c>
      <c r="H178" s="13">
        <f t="shared" si="190"/>
        <v>2505.365899</v>
      </c>
    </row>
    <row r="179">
      <c r="A179" s="6">
        <v>2020.0</v>
      </c>
      <c r="B179" s="6" t="s">
        <v>28</v>
      </c>
      <c r="C179" s="10">
        <f t="shared" si="3"/>
        <v>44105</v>
      </c>
      <c r="D179" s="6">
        <v>1753.0</v>
      </c>
      <c r="E179" s="6">
        <v>1519.0</v>
      </c>
      <c r="F179" s="11">
        <f t="shared" si="1"/>
        <v>3272</v>
      </c>
      <c r="G179" s="12">
        <f t="shared" ref="G179:H179" si="191">G178</f>
        <v>2170.269961</v>
      </c>
      <c r="H179" s="13">
        <f t="shared" si="191"/>
        <v>2505.365899</v>
      </c>
    </row>
    <row r="180">
      <c r="A180" s="6">
        <v>2020.0</v>
      </c>
      <c r="B180" s="6" t="s">
        <v>29</v>
      </c>
      <c r="C180" s="10">
        <f t="shared" si="3"/>
        <v>44136</v>
      </c>
      <c r="D180" s="6">
        <v>1695.0</v>
      </c>
      <c r="E180" s="6">
        <v>1336.0</v>
      </c>
      <c r="F180" s="11">
        <f t="shared" si="1"/>
        <v>3031</v>
      </c>
      <c r="G180" s="12">
        <f t="shared" ref="G180:H180" si="192">G179</f>
        <v>2170.269961</v>
      </c>
      <c r="H180" s="13">
        <f t="shared" si="192"/>
        <v>2505.365899</v>
      </c>
    </row>
    <row r="181">
      <c r="A181" s="6">
        <v>2020.0</v>
      </c>
      <c r="B181" s="6" t="s">
        <v>30</v>
      </c>
      <c r="C181" s="10">
        <f t="shared" si="3"/>
        <v>44166</v>
      </c>
      <c r="D181" s="6">
        <v>454.0</v>
      </c>
      <c r="E181" s="6">
        <v>1037.0</v>
      </c>
      <c r="F181" s="11">
        <f t="shared" si="1"/>
        <v>1491</v>
      </c>
      <c r="G181" s="12">
        <f t="shared" ref="G181:H181" si="193">G180</f>
        <v>2170.269961</v>
      </c>
      <c r="H181" s="13">
        <f t="shared" si="193"/>
        <v>2505.365899</v>
      </c>
    </row>
    <row r="182">
      <c r="A182" s="6">
        <v>2021.0</v>
      </c>
      <c r="B182" s="6" t="s">
        <v>14</v>
      </c>
      <c r="C182" s="10">
        <f t="shared" si="3"/>
        <v>44197</v>
      </c>
      <c r="D182" s="6">
        <v>757.0</v>
      </c>
      <c r="E182" s="6">
        <v>1009.0</v>
      </c>
      <c r="F182" s="11">
        <f t="shared" si="1"/>
        <v>1766</v>
      </c>
      <c r="G182" s="12">
        <f t="shared" ref="G182:H182" si="194">G181</f>
        <v>2170.269961</v>
      </c>
      <c r="H182" s="13">
        <f t="shared" si="194"/>
        <v>2505.365899</v>
      </c>
    </row>
    <row r="183">
      <c r="A183" s="6">
        <v>2021.0</v>
      </c>
      <c r="B183" s="6" t="s">
        <v>15</v>
      </c>
      <c r="C183" s="10">
        <f t="shared" si="3"/>
        <v>44228</v>
      </c>
      <c r="D183" s="6">
        <v>449.0</v>
      </c>
      <c r="E183" s="6">
        <v>846.0</v>
      </c>
      <c r="F183" s="11">
        <f t="shared" si="1"/>
        <v>1295</v>
      </c>
      <c r="G183" s="12">
        <f t="shared" ref="G183:H183" si="195">G182</f>
        <v>2170.269961</v>
      </c>
      <c r="H183" s="13">
        <f t="shared" si="195"/>
        <v>2505.365899</v>
      </c>
    </row>
    <row r="184">
      <c r="A184" s="6">
        <v>2021.0</v>
      </c>
      <c r="B184" s="6" t="s">
        <v>16</v>
      </c>
      <c r="C184" s="10">
        <f t="shared" si="3"/>
        <v>44256</v>
      </c>
      <c r="D184" s="6">
        <v>524.0</v>
      </c>
      <c r="E184" s="6">
        <v>1057.0</v>
      </c>
      <c r="F184" s="11">
        <f t="shared" si="1"/>
        <v>1581</v>
      </c>
      <c r="G184" s="12">
        <f t="shared" ref="G184:H184" si="196">G183</f>
        <v>2170.269961</v>
      </c>
      <c r="H184" s="13">
        <f t="shared" si="196"/>
        <v>2505.365899</v>
      </c>
    </row>
    <row r="185">
      <c r="A185" s="6">
        <v>2021.0</v>
      </c>
      <c r="B185" s="6" t="s">
        <v>17</v>
      </c>
      <c r="C185" s="10">
        <f t="shared" si="3"/>
        <v>44287</v>
      </c>
      <c r="D185" s="6">
        <v>398.0</v>
      </c>
      <c r="E185" s="6">
        <v>1031.0</v>
      </c>
      <c r="F185" s="11">
        <f t="shared" si="1"/>
        <v>1429</v>
      </c>
      <c r="G185" s="12">
        <f t="shared" ref="G185:H185" si="197">G184</f>
        <v>2170.269961</v>
      </c>
      <c r="H185" s="13">
        <f t="shared" si="197"/>
        <v>2505.365899</v>
      </c>
    </row>
    <row r="186">
      <c r="A186" s="6">
        <v>2021.0</v>
      </c>
      <c r="B186" s="6" t="s">
        <v>18</v>
      </c>
      <c r="C186" s="10">
        <f t="shared" si="3"/>
        <v>44317</v>
      </c>
      <c r="D186" s="6">
        <v>493.0</v>
      </c>
      <c r="E186" s="6">
        <v>1114.0</v>
      </c>
      <c r="F186" s="11">
        <f t="shared" si="1"/>
        <v>1607</v>
      </c>
      <c r="G186" s="12">
        <f t="shared" ref="G186:H186" si="198">G185</f>
        <v>2170.269961</v>
      </c>
      <c r="H186" s="13">
        <f t="shared" si="198"/>
        <v>2505.365899</v>
      </c>
    </row>
    <row r="187">
      <c r="A187" s="6">
        <v>2021.0</v>
      </c>
      <c r="B187" s="6" t="s">
        <v>24</v>
      </c>
      <c r="C187" s="10">
        <f t="shared" si="3"/>
        <v>44348</v>
      </c>
      <c r="D187" s="6">
        <v>841.0</v>
      </c>
      <c r="E187" s="6">
        <v>1099.0</v>
      </c>
      <c r="F187" s="11">
        <f t="shared" si="1"/>
        <v>1940</v>
      </c>
      <c r="G187" s="12">
        <f t="shared" ref="G187:H187" si="199">G186</f>
        <v>2170.269961</v>
      </c>
      <c r="H187" s="13">
        <f t="shared" si="199"/>
        <v>2505.365899</v>
      </c>
    </row>
    <row r="188">
      <c r="A188" s="6">
        <v>2021.0</v>
      </c>
      <c r="B188" s="6" t="s">
        <v>25</v>
      </c>
      <c r="C188" s="10">
        <f t="shared" si="3"/>
        <v>44378</v>
      </c>
      <c r="D188" s="6">
        <v>852.0</v>
      </c>
      <c r="E188" s="6">
        <v>933.0</v>
      </c>
      <c r="F188" s="11">
        <f t="shared" si="1"/>
        <v>1785</v>
      </c>
      <c r="G188" s="12">
        <f t="shared" ref="G188:H188" si="200">G187</f>
        <v>2170.269961</v>
      </c>
      <c r="H188" s="13">
        <f t="shared" si="200"/>
        <v>2505.365899</v>
      </c>
    </row>
    <row r="189">
      <c r="A189" s="6">
        <v>2021.0</v>
      </c>
      <c r="B189" s="6" t="s">
        <v>26</v>
      </c>
      <c r="C189" s="10">
        <f t="shared" si="3"/>
        <v>44409</v>
      </c>
      <c r="D189" s="6">
        <v>750.0</v>
      </c>
      <c r="E189" s="6">
        <v>1350.0</v>
      </c>
      <c r="F189" s="11">
        <f t="shared" si="1"/>
        <v>2100</v>
      </c>
      <c r="G189" s="12">
        <f t="shared" ref="G189:H189" si="201">G188</f>
        <v>2170.269961</v>
      </c>
      <c r="H189" s="13">
        <f t="shared" si="201"/>
        <v>2505.365899</v>
      </c>
    </row>
    <row r="190">
      <c r="A190" s="6">
        <v>2021.0</v>
      </c>
      <c r="B190" s="6" t="s">
        <v>27</v>
      </c>
      <c r="C190" s="10">
        <f t="shared" si="3"/>
        <v>44440</v>
      </c>
      <c r="D190" s="6">
        <v>873.0</v>
      </c>
      <c r="E190" s="6">
        <v>1720.0</v>
      </c>
      <c r="F190" s="11">
        <f t="shared" si="1"/>
        <v>2593</v>
      </c>
      <c r="G190" s="12">
        <f t="shared" ref="G190:H190" si="202">G189</f>
        <v>2170.269961</v>
      </c>
      <c r="H190" s="13">
        <f t="shared" si="202"/>
        <v>2505.365899</v>
      </c>
    </row>
    <row r="191">
      <c r="A191" s="6">
        <v>2021.0</v>
      </c>
      <c r="B191" s="6" t="s">
        <v>28</v>
      </c>
      <c r="C191" s="10">
        <f t="shared" si="3"/>
        <v>44470</v>
      </c>
      <c r="D191" s="6">
        <v>956.0</v>
      </c>
      <c r="E191" s="6">
        <v>1146.0</v>
      </c>
      <c r="F191" s="11">
        <f t="shared" si="1"/>
        <v>2102</v>
      </c>
      <c r="G191" s="12">
        <f t="shared" ref="G191:H191" si="203">G190</f>
        <v>2170.269961</v>
      </c>
      <c r="H191" s="13">
        <f t="shared" si="203"/>
        <v>2505.365899</v>
      </c>
    </row>
    <row r="192">
      <c r="A192" s="6">
        <v>2021.0</v>
      </c>
      <c r="B192" s="6" t="s">
        <v>29</v>
      </c>
      <c r="C192" s="10">
        <f t="shared" si="3"/>
        <v>44501</v>
      </c>
      <c r="D192" s="6">
        <v>1435.0</v>
      </c>
      <c r="E192" s="6">
        <v>1208.0</v>
      </c>
      <c r="F192" s="11">
        <f t="shared" si="1"/>
        <v>2643</v>
      </c>
      <c r="G192" s="12">
        <f t="shared" ref="G192:H192" si="204">G191</f>
        <v>2170.269961</v>
      </c>
      <c r="H192" s="13">
        <f t="shared" si="204"/>
        <v>2505.365899</v>
      </c>
    </row>
    <row r="193">
      <c r="A193" s="6">
        <v>2021.0</v>
      </c>
      <c r="B193" s="6" t="s">
        <v>30</v>
      </c>
      <c r="C193" s="10">
        <f t="shared" si="3"/>
        <v>44531</v>
      </c>
      <c r="D193" s="6">
        <v>1510.0</v>
      </c>
      <c r="E193" s="6">
        <v>926.0</v>
      </c>
      <c r="F193" s="11">
        <f t="shared" si="1"/>
        <v>2436</v>
      </c>
      <c r="G193" s="12">
        <f t="shared" ref="G193:H193" si="205">G192</f>
        <v>2170.269961</v>
      </c>
      <c r="H193" s="13">
        <f t="shared" si="205"/>
        <v>2505.365899</v>
      </c>
    </row>
    <row r="194">
      <c r="A194" s="6">
        <v>2022.0</v>
      </c>
      <c r="B194" s="6" t="s">
        <v>14</v>
      </c>
      <c r="C194" s="10">
        <f t="shared" si="3"/>
        <v>44562</v>
      </c>
      <c r="D194" s="6">
        <v>1155.0</v>
      </c>
      <c r="E194" s="6">
        <v>666.0</v>
      </c>
      <c r="F194" s="11">
        <f t="shared" si="1"/>
        <v>1821</v>
      </c>
      <c r="G194" s="12">
        <f t="shared" ref="G194:H194" si="206">G193</f>
        <v>2170.269961</v>
      </c>
      <c r="H194" s="13">
        <f t="shared" si="206"/>
        <v>2505.365899</v>
      </c>
    </row>
    <row r="195">
      <c r="A195" s="6">
        <v>2022.0</v>
      </c>
      <c r="B195" s="6" t="s">
        <v>15</v>
      </c>
      <c r="C195" s="10">
        <f t="shared" si="3"/>
        <v>44593</v>
      </c>
      <c r="D195" s="6">
        <v>895.0</v>
      </c>
      <c r="E195" s="6">
        <v>699.0</v>
      </c>
      <c r="F195" s="11">
        <f t="shared" si="1"/>
        <v>1594</v>
      </c>
      <c r="G195" s="12">
        <f t="shared" ref="G195:H195" si="207">G194</f>
        <v>2170.269961</v>
      </c>
      <c r="H195" s="13">
        <f t="shared" si="207"/>
        <v>2505.365899</v>
      </c>
    </row>
    <row r="196">
      <c r="A196" s="6">
        <v>2022.0</v>
      </c>
      <c r="B196" s="6" t="s">
        <v>16</v>
      </c>
      <c r="C196" s="10">
        <f t="shared" si="3"/>
        <v>44621</v>
      </c>
      <c r="D196" s="6">
        <v>573.0</v>
      </c>
      <c r="E196" s="6">
        <v>1091.0</v>
      </c>
      <c r="F196" s="11">
        <f t="shared" si="1"/>
        <v>1664</v>
      </c>
      <c r="G196" s="12">
        <f t="shared" ref="G196:H196" si="208">G195</f>
        <v>2170.269961</v>
      </c>
      <c r="H196" s="13">
        <f t="shared" si="208"/>
        <v>2505.365899</v>
      </c>
    </row>
    <row r="197">
      <c r="A197" s="6">
        <v>2022.0</v>
      </c>
      <c r="B197" s="6" t="s">
        <v>17</v>
      </c>
      <c r="C197" s="10">
        <f t="shared" si="3"/>
        <v>44652</v>
      </c>
      <c r="D197" s="6">
        <v>144.0</v>
      </c>
      <c r="E197" s="6">
        <v>1507.0</v>
      </c>
      <c r="F197" s="11">
        <f t="shared" si="1"/>
        <v>1651</v>
      </c>
      <c r="G197" s="12">
        <f t="shared" ref="G197:H197" si="209">G196</f>
        <v>2170.269961</v>
      </c>
      <c r="H197" s="13">
        <f t="shared" si="209"/>
        <v>2505.365899</v>
      </c>
    </row>
    <row r="198">
      <c r="A198" s="6">
        <v>2022.0</v>
      </c>
      <c r="B198" s="6" t="s">
        <v>18</v>
      </c>
      <c r="C198" s="10">
        <f t="shared" si="3"/>
        <v>44682</v>
      </c>
      <c r="D198" s="6">
        <v>310.0</v>
      </c>
      <c r="E198" s="6">
        <v>1156.0</v>
      </c>
      <c r="F198" s="11">
        <f t="shared" si="1"/>
        <v>1466</v>
      </c>
      <c r="G198" s="12">
        <f t="shared" ref="G198:H198" si="210">G197</f>
        <v>2170.269961</v>
      </c>
      <c r="H198" s="13">
        <f t="shared" si="210"/>
        <v>2505.365899</v>
      </c>
    </row>
    <row r="199">
      <c r="A199" s="6">
        <v>2022.0</v>
      </c>
      <c r="B199" s="6" t="s">
        <v>24</v>
      </c>
      <c r="C199" s="10">
        <f t="shared" si="3"/>
        <v>44713</v>
      </c>
      <c r="D199" s="6">
        <v>421.0</v>
      </c>
      <c r="E199" s="6">
        <v>1539.0</v>
      </c>
      <c r="F199" s="11">
        <f t="shared" si="1"/>
        <v>1960</v>
      </c>
      <c r="G199" s="12">
        <f t="shared" ref="G199:H199" si="211">G198</f>
        <v>2170.269961</v>
      </c>
      <c r="H199" s="13">
        <f t="shared" si="211"/>
        <v>2505.365899</v>
      </c>
    </row>
    <row r="200">
      <c r="A200" s="6">
        <v>2022.0</v>
      </c>
      <c r="B200" s="6" t="s">
        <v>25</v>
      </c>
      <c r="C200" s="10">
        <f t="shared" si="3"/>
        <v>44743</v>
      </c>
      <c r="D200" s="6">
        <v>510.0</v>
      </c>
      <c r="E200" s="6">
        <v>1593.0</v>
      </c>
      <c r="F200" s="11">
        <f t="shared" si="1"/>
        <v>2103</v>
      </c>
      <c r="G200" s="12">
        <f t="shared" ref="G200:H200" si="212">G199</f>
        <v>2170.269961</v>
      </c>
      <c r="H200" s="13">
        <f t="shared" si="212"/>
        <v>2505.365899</v>
      </c>
    </row>
    <row r="201">
      <c r="A201" s="6">
        <v>2022.0</v>
      </c>
      <c r="B201" s="6" t="s">
        <v>26</v>
      </c>
      <c r="C201" s="10">
        <f t="shared" si="3"/>
        <v>44774</v>
      </c>
      <c r="D201" s="6">
        <v>719.0</v>
      </c>
      <c r="E201" s="6">
        <v>1884.0</v>
      </c>
      <c r="F201" s="11">
        <f t="shared" si="1"/>
        <v>2603</v>
      </c>
      <c r="G201" s="12">
        <f t="shared" ref="G201:H201" si="213">G200</f>
        <v>2170.269961</v>
      </c>
      <c r="H201" s="13">
        <f t="shared" si="213"/>
        <v>2505.365899</v>
      </c>
    </row>
    <row r="202">
      <c r="A202" s="6">
        <v>2022.0</v>
      </c>
      <c r="B202" s="6" t="s">
        <v>27</v>
      </c>
      <c r="C202" s="10">
        <f t="shared" si="3"/>
        <v>44805</v>
      </c>
      <c r="D202" s="6">
        <v>826.0</v>
      </c>
      <c r="E202" s="6">
        <v>1652.0</v>
      </c>
      <c r="F202" s="11">
        <f t="shared" si="1"/>
        <v>2478</v>
      </c>
      <c r="G202" s="12">
        <f t="shared" ref="G202:H202" si="214">G201</f>
        <v>2170.269961</v>
      </c>
      <c r="H202" s="13">
        <f t="shared" si="214"/>
        <v>2505.365899</v>
      </c>
    </row>
    <row r="203">
      <c r="A203" s="6">
        <v>2022.0</v>
      </c>
      <c r="B203" s="6" t="s">
        <v>28</v>
      </c>
      <c r="C203" s="10">
        <f t="shared" si="3"/>
        <v>44835</v>
      </c>
      <c r="D203" s="6">
        <v>1345.0</v>
      </c>
      <c r="E203" s="6">
        <v>1626.0</v>
      </c>
      <c r="F203" s="11">
        <f t="shared" si="1"/>
        <v>2971</v>
      </c>
      <c r="G203" s="12">
        <f t="shared" ref="G203:H203" si="215">G202</f>
        <v>2170.269961</v>
      </c>
      <c r="H203" s="13">
        <f t="shared" si="215"/>
        <v>2505.365899</v>
      </c>
    </row>
    <row r="204">
      <c r="A204" s="6">
        <v>2022.0</v>
      </c>
      <c r="B204" s="6" t="s">
        <v>29</v>
      </c>
      <c r="C204" s="10">
        <f t="shared" si="3"/>
        <v>44866</v>
      </c>
      <c r="D204" s="6">
        <v>1346.0</v>
      </c>
      <c r="E204" s="6">
        <v>1009.0</v>
      </c>
      <c r="F204" s="11">
        <f t="shared" si="1"/>
        <v>2355</v>
      </c>
      <c r="G204" s="12">
        <f t="shared" ref="G204:H204" si="216">G203</f>
        <v>2170.269961</v>
      </c>
      <c r="H204" s="13">
        <f t="shared" si="216"/>
        <v>2505.365899</v>
      </c>
    </row>
    <row r="205">
      <c r="A205" s="6">
        <v>2022.0</v>
      </c>
      <c r="B205" s="6" t="s">
        <v>30</v>
      </c>
      <c r="C205" s="10">
        <f t="shared" si="3"/>
        <v>44896</v>
      </c>
      <c r="D205" s="6">
        <v>1080.0</v>
      </c>
      <c r="E205" s="6">
        <v>914.0</v>
      </c>
      <c r="F205" s="11">
        <f t="shared" si="1"/>
        <v>1994</v>
      </c>
      <c r="G205" s="12">
        <f t="shared" ref="G205:H205" si="217">G204</f>
        <v>2170.269961</v>
      </c>
      <c r="H205" s="13">
        <f t="shared" si="217"/>
        <v>2505.365899</v>
      </c>
    </row>
    <row r="206">
      <c r="A206" s="6">
        <v>2023.0</v>
      </c>
      <c r="B206" s="6" t="s">
        <v>14</v>
      </c>
      <c r="C206" s="10">
        <f t="shared" si="3"/>
        <v>44927</v>
      </c>
      <c r="D206" s="6">
        <v>946.0</v>
      </c>
      <c r="E206" s="6">
        <v>702.0</v>
      </c>
      <c r="F206" s="11">
        <f t="shared" si="1"/>
        <v>1648</v>
      </c>
      <c r="G206" s="12">
        <f t="shared" ref="G206:H206" si="218">G205</f>
        <v>2170.269961</v>
      </c>
      <c r="H206" s="13">
        <f t="shared" si="218"/>
        <v>2505.365899</v>
      </c>
    </row>
    <row r="207">
      <c r="A207" s="6">
        <v>2023.0</v>
      </c>
      <c r="B207" s="6" t="s">
        <v>15</v>
      </c>
      <c r="C207" s="10">
        <f t="shared" si="3"/>
        <v>44958</v>
      </c>
      <c r="D207" s="6">
        <v>1105.0</v>
      </c>
      <c r="E207" s="6">
        <v>900.0</v>
      </c>
      <c r="F207" s="11">
        <f t="shared" si="1"/>
        <v>2005</v>
      </c>
      <c r="G207" s="12">
        <f t="shared" ref="G207:H207" si="219">G206</f>
        <v>2170.269961</v>
      </c>
      <c r="H207" s="13">
        <f t="shared" si="219"/>
        <v>2505.365899</v>
      </c>
    </row>
    <row r="208">
      <c r="A208" s="6">
        <v>2023.0</v>
      </c>
      <c r="B208" s="6" t="s">
        <v>16</v>
      </c>
      <c r="C208" s="10">
        <f t="shared" si="3"/>
        <v>44986</v>
      </c>
      <c r="D208" s="6">
        <v>1036.0</v>
      </c>
      <c r="E208" s="6">
        <v>1053.0</v>
      </c>
      <c r="F208" s="11">
        <f t="shared" si="1"/>
        <v>2089</v>
      </c>
      <c r="G208" s="12">
        <f t="shared" ref="G208:H208" si="220">G207</f>
        <v>2170.269961</v>
      </c>
      <c r="H208" s="13">
        <f t="shared" si="220"/>
        <v>2505.365899</v>
      </c>
    </row>
    <row r="209">
      <c r="A209" s="6">
        <v>2023.0</v>
      </c>
      <c r="B209" s="6" t="s">
        <v>17</v>
      </c>
      <c r="C209" s="10">
        <f t="shared" si="3"/>
        <v>45017</v>
      </c>
      <c r="D209" s="6">
        <v>1003.0</v>
      </c>
      <c r="E209" s="6">
        <v>1283.0</v>
      </c>
      <c r="F209" s="11">
        <f t="shared" si="1"/>
        <v>2286</v>
      </c>
      <c r="G209" s="12">
        <f t="shared" ref="G209:H209" si="221">G208</f>
        <v>2170.269961</v>
      </c>
      <c r="H209" s="13">
        <f t="shared" si="221"/>
        <v>2505.365899</v>
      </c>
    </row>
    <row r="210">
      <c r="G210" s="12"/>
      <c r="H210" s="12"/>
    </row>
    <row r="211">
      <c r="G211" s="12"/>
      <c r="H211" s="12"/>
    </row>
    <row r="212">
      <c r="G212" s="12"/>
      <c r="H212" s="12"/>
    </row>
    <row r="213">
      <c r="G213" s="12"/>
      <c r="H213" s="12"/>
    </row>
    <row r="214">
      <c r="G214" s="12"/>
      <c r="H214" s="12"/>
    </row>
    <row r="215">
      <c r="G215" s="12"/>
      <c r="H215" s="12"/>
    </row>
    <row r="216">
      <c r="G216" s="12"/>
      <c r="H216" s="12"/>
    </row>
    <row r="217">
      <c r="G217" s="12"/>
      <c r="H217" s="12"/>
    </row>
    <row r="218">
      <c r="G218" s="12"/>
      <c r="H218" s="12"/>
    </row>
    <row r="219">
      <c r="G219" s="12"/>
      <c r="H219" s="12"/>
    </row>
    <row r="220">
      <c r="G220" s="12"/>
      <c r="H220" s="12"/>
    </row>
    <row r="221">
      <c r="G221" s="12"/>
      <c r="H221" s="12"/>
    </row>
    <row r="222">
      <c r="G222" s="12"/>
      <c r="H222" s="12"/>
    </row>
    <row r="223">
      <c r="G223" s="12"/>
      <c r="H223" s="12"/>
    </row>
    <row r="224">
      <c r="G224" s="12"/>
      <c r="H224" s="12"/>
    </row>
    <row r="225">
      <c r="G225" s="12"/>
      <c r="H225" s="12"/>
    </row>
    <row r="226">
      <c r="G226" s="12"/>
      <c r="H226" s="12"/>
    </row>
    <row r="227">
      <c r="G227" s="12"/>
      <c r="H227" s="12"/>
    </row>
    <row r="228">
      <c r="G228" s="12"/>
      <c r="H228" s="12"/>
    </row>
    <row r="229">
      <c r="G229" s="12"/>
      <c r="H229" s="12"/>
    </row>
    <row r="230">
      <c r="G230" s="12"/>
      <c r="H230" s="12"/>
    </row>
    <row r="231">
      <c r="G231" s="12"/>
      <c r="H231" s="12"/>
    </row>
    <row r="232">
      <c r="G232" s="12"/>
      <c r="H232" s="12"/>
    </row>
    <row r="233">
      <c r="G233" s="12"/>
      <c r="H233" s="12"/>
    </row>
    <row r="234">
      <c r="G234" s="12"/>
      <c r="H234" s="12"/>
    </row>
    <row r="235">
      <c r="G235" s="12"/>
      <c r="H235" s="12"/>
    </row>
    <row r="236">
      <c r="G236" s="12"/>
      <c r="H236" s="12"/>
    </row>
    <row r="237">
      <c r="G237" s="12"/>
      <c r="H237" s="12"/>
    </row>
    <row r="238">
      <c r="G238" s="12"/>
      <c r="H238" s="12"/>
    </row>
    <row r="239">
      <c r="G239" s="12"/>
      <c r="H239" s="12"/>
    </row>
    <row r="240">
      <c r="G240" s="12"/>
      <c r="H240" s="12"/>
    </row>
    <row r="241">
      <c r="G241" s="12"/>
      <c r="H241" s="12"/>
    </row>
    <row r="242">
      <c r="G242" s="12"/>
      <c r="H242" s="12"/>
    </row>
    <row r="243">
      <c r="G243" s="12"/>
      <c r="H243" s="12"/>
    </row>
    <row r="244">
      <c r="G244" s="12"/>
      <c r="H244" s="12"/>
    </row>
    <row r="245">
      <c r="G245" s="12"/>
      <c r="H245" s="12"/>
    </row>
    <row r="246">
      <c r="G246" s="12"/>
      <c r="H246" s="12"/>
    </row>
    <row r="247">
      <c r="G247" s="12"/>
      <c r="H247" s="12"/>
    </row>
    <row r="248">
      <c r="G248" s="12"/>
      <c r="H248" s="12"/>
    </row>
    <row r="249">
      <c r="G249" s="12"/>
      <c r="H249" s="12"/>
    </row>
    <row r="250">
      <c r="G250" s="12"/>
      <c r="H250" s="12"/>
    </row>
    <row r="251">
      <c r="G251" s="12"/>
      <c r="H251" s="12"/>
    </row>
    <row r="252">
      <c r="G252" s="12"/>
      <c r="H252" s="12"/>
    </row>
    <row r="253">
      <c r="G253" s="12"/>
      <c r="H253" s="12"/>
    </row>
    <row r="254">
      <c r="G254" s="12"/>
      <c r="H254" s="12"/>
    </row>
    <row r="255">
      <c r="G255" s="12"/>
      <c r="H255" s="12"/>
    </row>
    <row r="256">
      <c r="G256" s="12"/>
      <c r="H256" s="12"/>
    </row>
    <row r="257">
      <c r="G257" s="12"/>
      <c r="H257" s="12"/>
    </row>
    <row r="258">
      <c r="G258" s="12"/>
      <c r="H258" s="12"/>
    </row>
    <row r="259">
      <c r="G259" s="12"/>
      <c r="H259" s="12"/>
    </row>
    <row r="260">
      <c r="G260" s="12"/>
      <c r="H260" s="12"/>
    </row>
    <row r="261">
      <c r="G261" s="12"/>
      <c r="H261" s="12"/>
    </row>
    <row r="262">
      <c r="G262" s="12"/>
      <c r="H262" s="12"/>
    </row>
    <row r="263">
      <c r="G263" s="12"/>
      <c r="H263" s="12"/>
    </row>
    <row r="264">
      <c r="G264" s="12"/>
      <c r="H264" s="12"/>
    </row>
    <row r="265">
      <c r="G265" s="12"/>
      <c r="H265" s="12"/>
    </row>
    <row r="266">
      <c r="G266" s="12"/>
      <c r="H266" s="12"/>
    </row>
    <row r="267">
      <c r="G267" s="12"/>
      <c r="H267" s="12"/>
    </row>
    <row r="268">
      <c r="G268" s="12"/>
      <c r="H268" s="12"/>
    </row>
    <row r="269">
      <c r="G269" s="12"/>
      <c r="H269" s="12"/>
    </row>
    <row r="270">
      <c r="G270" s="12"/>
      <c r="H270" s="12"/>
    </row>
    <row r="271">
      <c r="G271" s="12"/>
      <c r="H271" s="12"/>
    </row>
    <row r="272">
      <c r="G272" s="12"/>
      <c r="H272" s="12"/>
    </row>
    <row r="273">
      <c r="G273" s="12"/>
      <c r="H273" s="12"/>
    </row>
    <row r="274">
      <c r="G274" s="12"/>
      <c r="H274" s="12"/>
    </row>
    <row r="275">
      <c r="G275" s="12"/>
      <c r="H275" s="12"/>
    </row>
    <row r="276">
      <c r="G276" s="12"/>
      <c r="H276" s="12"/>
    </row>
    <row r="277">
      <c r="G277" s="12"/>
      <c r="H277" s="12"/>
    </row>
    <row r="278">
      <c r="G278" s="12"/>
      <c r="H278" s="12"/>
    </row>
    <row r="279">
      <c r="G279" s="12"/>
      <c r="H279" s="12"/>
    </row>
    <row r="280">
      <c r="G280" s="12"/>
      <c r="H280" s="12"/>
    </row>
    <row r="281">
      <c r="G281" s="12"/>
      <c r="H281" s="12"/>
    </row>
    <row r="282">
      <c r="G282" s="12"/>
      <c r="H282" s="12"/>
    </row>
    <row r="283">
      <c r="G283" s="12"/>
      <c r="H283" s="12"/>
    </row>
    <row r="284">
      <c r="G284" s="12"/>
      <c r="H284" s="12"/>
    </row>
    <row r="285">
      <c r="G285" s="12"/>
      <c r="H285" s="12"/>
    </row>
    <row r="286">
      <c r="G286" s="12"/>
      <c r="H286" s="12"/>
    </row>
    <row r="287">
      <c r="G287" s="12"/>
      <c r="H287" s="12"/>
    </row>
    <row r="288">
      <c r="G288" s="12"/>
      <c r="H288" s="12"/>
    </row>
    <row r="289">
      <c r="G289" s="12"/>
      <c r="H289" s="12"/>
    </row>
    <row r="290">
      <c r="G290" s="12"/>
      <c r="H290" s="12"/>
    </row>
    <row r="291">
      <c r="G291" s="12"/>
      <c r="H291" s="12"/>
    </row>
    <row r="292">
      <c r="G292" s="12"/>
      <c r="H292" s="12"/>
    </row>
    <row r="293">
      <c r="G293" s="12"/>
      <c r="H293" s="12"/>
    </row>
    <row r="294">
      <c r="G294" s="12"/>
      <c r="H294" s="12"/>
    </row>
    <row r="295">
      <c r="G295" s="12"/>
      <c r="H295" s="12"/>
    </row>
    <row r="296">
      <c r="G296" s="12"/>
      <c r="H296" s="12"/>
    </row>
    <row r="297">
      <c r="G297" s="12"/>
      <c r="H297" s="12"/>
    </row>
    <row r="298">
      <c r="G298" s="12"/>
      <c r="H298" s="12"/>
    </row>
    <row r="299">
      <c r="G299" s="12"/>
      <c r="H299" s="12"/>
    </row>
    <row r="300">
      <c r="G300" s="12"/>
      <c r="H300" s="12"/>
    </row>
    <row r="301">
      <c r="G301" s="12"/>
      <c r="H301" s="12"/>
    </row>
    <row r="302">
      <c r="G302" s="12"/>
      <c r="H302" s="12"/>
    </row>
    <row r="303">
      <c r="G303" s="12"/>
      <c r="H303" s="12"/>
    </row>
    <row r="304">
      <c r="G304" s="12"/>
      <c r="H304" s="12"/>
    </row>
    <row r="305">
      <c r="G305" s="12"/>
      <c r="H305" s="12"/>
    </row>
    <row r="306">
      <c r="G306" s="12"/>
      <c r="H306" s="12"/>
    </row>
    <row r="307">
      <c r="G307" s="12"/>
      <c r="H307" s="12"/>
    </row>
    <row r="308">
      <c r="G308" s="12"/>
      <c r="H308" s="12"/>
    </row>
    <row r="309">
      <c r="G309" s="12"/>
      <c r="H309" s="12"/>
    </row>
    <row r="310">
      <c r="G310" s="12"/>
      <c r="H310" s="12"/>
    </row>
    <row r="311">
      <c r="G311" s="12"/>
      <c r="H311" s="12"/>
    </row>
    <row r="312">
      <c r="G312" s="12"/>
      <c r="H312" s="12"/>
    </row>
    <row r="313">
      <c r="G313" s="12"/>
      <c r="H313" s="12"/>
    </row>
    <row r="314">
      <c r="G314" s="12"/>
      <c r="H314" s="12"/>
    </row>
    <row r="315">
      <c r="G315" s="12"/>
      <c r="H315" s="12"/>
    </row>
    <row r="316">
      <c r="G316" s="12"/>
      <c r="H316" s="12"/>
    </row>
    <row r="317">
      <c r="G317" s="12"/>
      <c r="H317" s="12"/>
    </row>
    <row r="318">
      <c r="G318" s="12"/>
      <c r="H318" s="12"/>
    </row>
    <row r="319">
      <c r="G319" s="12"/>
      <c r="H319" s="12"/>
    </row>
    <row r="320">
      <c r="G320" s="12"/>
      <c r="H320" s="12"/>
    </row>
    <row r="321">
      <c r="G321" s="12"/>
      <c r="H321" s="12"/>
    </row>
    <row r="322">
      <c r="G322" s="12"/>
      <c r="H322" s="12"/>
    </row>
    <row r="323">
      <c r="G323" s="12"/>
      <c r="H323" s="12"/>
    </row>
    <row r="324">
      <c r="G324" s="12"/>
      <c r="H324" s="12"/>
    </row>
    <row r="325">
      <c r="G325" s="12"/>
      <c r="H325" s="12"/>
    </row>
    <row r="326">
      <c r="G326" s="12"/>
      <c r="H326" s="12"/>
    </row>
    <row r="327">
      <c r="G327" s="12"/>
      <c r="H327" s="12"/>
    </row>
    <row r="328">
      <c r="G328" s="12"/>
      <c r="H328" s="12"/>
    </row>
    <row r="329">
      <c r="G329" s="12"/>
      <c r="H329" s="12"/>
    </row>
    <row r="330">
      <c r="G330" s="12"/>
      <c r="H330" s="12"/>
    </row>
    <row r="331">
      <c r="G331" s="12"/>
      <c r="H331" s="12"/>
    </row>
    <row r="332">
      <c r="G332" s="12"/>
      <c r="H332" s="12"/>
    </row>
    <row r="333">
      <c r="G333" s="12"/>
      <c r="H333" s="12"/>
    </row>
    <row r="334">
      <c r="G334" s="12"/>
      <c r="H334" s="12"/>
    </row>
    <row r="335">
      <c r="G335" s="12"/>
      <c r="H335" s="12"/>
    </row>
    <row r="336">
      <c r="G336" s="12"/>
      <c r="H336" s="12"/>
    </row>
    <row r="337">
      <c r="G337" s="12"/>
      <c r="H337" s="12"/>
    </row>
    <row r="338">
      <c r="G338" s="12"/>
      <c r="H338" s="12"/>
    </row>
    <row r="339">
      <c r="G339" s="12"/>
      <c r="H339" s="12"/>
    </row>
    <row r="340">
      <c r="G340" s="12"/>
      <c r="H340" s="12"/>
    </row>
    <row r="341">
      <c r="G341" s="12"/>
      <c r="H341" s="12"/>
    </row>
    <row r="342">
      <c r="G342" s="12"/>
      <c r="H342" s="12"/>
    </row>
    <row r="343">
      <c r="G343" s="12"/>
      <c r="H343" s="12"/>
    </row>
    <row r="344">
      <c r="G344" s="12"/>
      <c r="H344" s="12"/>
    </row>
    <row r="345">
      <c r="G345" s="12"/>
      <c r="H345" s="12"/>
    </row>
    <row r="346">
      <c r="G346" s="12"/>
      <c r="H346" s="12"/>
    </row>
    <row r="347">
      <c r="G347" s="12"/>
      <c r="H347" s="12"/>
    </row>
    <row r="348">
      <c r="G348" s="12"/>
      <c r="H348" s="12"/>
    </row>
    <row r="349">
      <c r="G349" s="12"/>
      <c r="H349" s="12"/>
    </row>
    <row r="350">
      <c r="G350" s="12"/>
      <c r="H350" s="12"/>
    </row>
    <row r="351">
      <c r="G351" s="12"/>
      <c r="H351" s="12"/>
    </row>
    <row r="352">
      <c r="G352" s="12"/>
      <c r="H352" s="12"/>
    </row>
    <row r="353">
      <c r="G353" s="12"/>
      <c r="H353" s="12"/>
    </row>
    <row r="354">
      <c r="G354" s="12"/>
      <c r="H354" s="12"/>
    </row>
    <row r="355">
      <c r="G355" s="12"/>
      <c r="H355" s="12"/>
    </row>
    <row r="356">
      <c r="G356" s="12"/>
      <c r="H356" s="12"/>
    </row>
    <row r="357">
      <c r="G357" s="12"/>
      <c r="H357" s="12"/>
    </row>
    <row r="358">
      <c r="G358" s="12"/>
      <c r="H358" s="12"/>
    </row>
    <row r="359">
      <c r="G359" s="12"/>
      <c r="H359" s="12"/>
    </row>
    <row r="360">
      <c r="G360" s="12"/>
      <c r="H360" s="12"/>
    </row>
    <row r="361">
      <c r="G361" s="12"/>
      <c r="H361" s="12"/>
    </row>
    <row r="362">
      <c r="G362" s="12"/>
      <c r="H362" s="12"/>
    </row>
    <row r="363">
      <c r="G363" s="12"/>
      <c r="H363" s="12"/>
    </row>
    <row r="364">
      <c r="G364" s="12"/>
      <c r="H364" s="12"/>
    </row>
    <row r="365">
      <c r="G365" s="12"/>
      <c r="H365" s="12"/>
    </row>
    <row r="366">
      <c r="G366" s="12"/>
      <c r="H366" s="12"/>
    </row>
    <row r="367">
      <c r="G367" s="12"/>
      <c r="H367" s="12"/>
    </row>
    <row r="368">
      <c r="G368" s="12"/>
      <c r="H368" s="12"/>
    </row>
    <row r="369">
      <c r="G369" s="12"/>
      <c r="H369" s="12"/>
    </row>
    <row r="370">
      <c r="G370" s="12"/>
      <c r="H370" s="12"/>
    </row>
    <row r="371">
      <c r="G371" s="12"/>
      <c r="H371" s="12"/>
    </row>
    <row r="372">
      <c r="G372" s="12"/>
      <c r="H372" s="12"/>
    </row>
    <row r="373">
      <c r="G373" s="12"/>
      <c r="H373" s="12"/>
    </row>
    <row r="374">
      <c r="G374" s="12"/>
      <c r="H374" s="12"/>
    </row>
    <row r="375">
      <c r="G375" s="12"/>
      <c r="H375" s="12"/>
    </row>
    <row r="376">
      <c r="G376" s="12"/>
      <c r="H376" s="12"/>
    </row>
    <row r="377">
      <c r="G377" s="12"/>
      <c r="H377" s="12"/>
    </row>
    <row r="378">
      <c r="G378" s="12"/>
      <c r="H378" s="12"/>
    </row>
    <row r="379">
      <c r="G379" s="12"/>
      <c r="H379" s="12"/>
    </row>
    <row r="380">
      <c r="G380" s="12"/>
      <c r="H380" s="12"/>
    </row>
    <row r="381">
      <c r="G381" s="12"/>
      <c r="H381" s="12"/>
    </row>
    <row r="382">
      <c r="G382" s="12"/>
      <c r="H382" s="12"/>
    </row>
    <row r="383">
      <c r="G383" s="12"/>
      <c r="H383" s="12"/>
    </row>
    <row r="384">
      <c r="G384" s="12"/>
      <c r="H384" s="12"/>
    </row>
    <row r="385">
      <c r="G385" s="12"/>
      <c r="H385" s="12"/>
    </row>
    <row r="386">
      <c r="G386" s="12"/>
      <c r="H386" s="12"/>
    </row>
    <row r="387">
      <c r="G387" s="12"/>
      <c r="H387" s="12"/>
    </row>
    <row r="388">
      <c r="G388" s="12"/>
      <c r="H388" s="12"/>
    </row>
    <row r="389">
      <c r="G389" s="12"/>
      <c r="H389" s="12"/>
    </row>
    <row r="390">
      <c r="G390" s="12"/>
      <c r="H390" s="12"/>
    </row>
    <row r="391">
      <c r="G391" s="12"/>
      <c r="H391" s="12"/>
    </row>
    <row r="392">
      <c r="G392" s="12"/>
      <c r="H392" s="12"/>
    </row>
    <row r="393">
      <c r="G393" s="12"/>
      <c r="H393" s="12"/>
    </row>
    <row r="394">
      <c r="G394" s="12"/>
      <c r="H394" s="12"/>
    </row>
    <row r="395">
      <c r="G395" s="12"/>
      <c r="H395" s="12"/>
    </row>
    <row r="396">
      <c r="G396" s="12"/>
      <c r="H396" s="12"/>
    </row>
    <row r="397">
      <c r="G397" s="12"/>
      <c r="H397" s="12"/>
    </row>
    <row r="398">
      <c r="G398" s="12"/>
      <c r="H398" s="12"/>
    </row>
    <row r="399">
      <c r="G399" s="12"/>
      <c r="H399" s="12"/>
    </row>
    <row r="400">
      <c r="G400" s="12"/>
      <c r="H400" s="12"/>
    </row>
    <row r="401">
      <c r="G401" s="12"/>
      <c r="H401" s="12"/>
    </row>
    <row r="402">
      <c r="G402" s="12"/>
      <c r="H402" s="12"/>
    </row>
    <row r="403">
      <c r="G403" s="12"/>
      <c r="H403" s="12"/>
    </row>
    <row r="404">
      <c r="G404" s="12"/>
      <c r="H404" s="12"/>
    </row>
    <row r="405">
      <c r="G405" s="12"/>
      <c r="H405" s="12"/>
    </row>
    <row r="406">
      <c r="G406" s="12"/>
      <c r="H406" s="12"/>
    </row>
    <row r="407">
      <c r="G407" s="12"/>
      <c r="H407" s="12"/>
    </row>
    <row r="408">
      <c r="G408" s="12"/>
      <c r="H408" s="12"/>
    </row>
    <row r="409">
      <c r="G409" s="12"/>
      <c r="H409" s="12"/>
    </row>
    <row r="410">
      <c r="G410" s="12"/>
      <c r="H410" s="12"/>
    </row>
    <row r="411">
      <c r="G411" s="12"/>
      <c r="H411" s="12"/>
    </row>
    <row r="412">
      <c r="G412" s="12"/>
      <c r="H412" s="12"/>
    </row>
    <row r="413">
      <c r="G413" s="12"/>
      <c r="H413" s="12"/>
    </row>
    <row r="414">
      <c r="G414" s="12"/>
      <c r="H414" s="12"/>
    </row>
    <row r="415">
      <c r="G415" s="12"/>
      <c r="H415" s="12"/>
    </row>
    <row r="416">
      <c r="G416" s="12"/>
      <c r="H416" s="12"/>
    </row>
    <row r="417">
      <c r="G417" s="12"/>
      <c r="H417" s="12"/>
    </row>
    <row r="418">
      <c r="G418" s="12"/>
      <c r="H418" s="12"/>
    </row>
    <row r="419">
      <c r="G419" s="12"/>
      <c r="H419" s="12"/>
    </row>
    <row r="420">
      <c r="G420" s="12"/>
      <c r="H420" s="12"/>
    </row>
    <row r="421">
      <c r="G421" s="12"/>
      <c r="H421" s="12"/>
    </row>
    <row r="422">
      <c r="G422" s="12"/>
      <c r="H422" s="12"/>
    </row>
    <row r="423">
      <c r="G423" s="12"/>
      <c r="H423" s="12"/>
    </row>
    <row r="424">
      <c r="G424" s="12"/>
      <c r="H424" s="12"/>
    </row>
    <row r="425">
      <c r="G425" s="12"/>
      <c r="H425" s="12"/>
    </row>
    <row r="426">
      <c r="G426" s="12"/>
      <c r="H426" s="12"/>
    </row>
    <row r="427">
      <c r="G427" s="12"/>
      <c r="H427" s="12"/>
    </row>
    <row r="428">
      <c r="G428" s="12"/>
      <c r="H428" s="12"/>
    </row>
    <row r="429">
      <c r="G429" s="12"/>
      <c r="H429" s="12"/>
    </row>
    <row r="430">
      <c r="G430" s="12"/>
      <c r="H430" s="12"/>
    </row>
    <row r="431">
      <c r="G431" s="12"/>
      <c r="H431" s="12"/>
    </row>
    <row r="432">
      <c r="G432" s="12"/>
      <c r="H432" s="12"/>
    </row>
    <row r="433">
      <c r="G433" s="12"/>
      <c r="H433" s="12"/>
    </row>
    <row r="434">
      <c r="G434" s="12"/>
      <c r="H434" s="12"/>
    </row>
    <row r="435">
      <c r="G435" s="12"/>
      <c r="H435" s="12"/>
    </row>
    <row r="436">
      <c r="G436" s="12"/>
      <c r="H436" s="12"/>
    </row>
    <row r="437">
      <c r="G437" s="12"/>
      <c r="H437" s="12"/>
    </row>
    <row r="438">
      <c r="G438" s="12"/>
      <c r="H438" s="12"/>
    </row>
    <row r="439">
      <c r="G439" s="12"/>
      <c r="H439" s="12"/>
    </row>
    <row r="440">
      <c r="G440" s="12"/>
      <c r="H440" s="12"/>
    </row>
    <row r="441">
      <c r="G441" s="12"/>
      <c r="H441" s="12"/>
    </row>
    <row r="442">
      <c r="G442" s="12"/>
      <c r="H442" s="12"/>
    </row>
    <row r="443">
      <c r="G443" s="12"/>
      <c r="H443" s="12"/>
    </row>
    <row r="444">
      <c r="G444" s="12"/>
      <c r="H444" s="12"/>
    </row>
    <row r="445">
      <c r="G445" s="12"/>
      <c r="H445" s="12"/>
    </row>
    <row r="446">
      <c r="G446" s="12"/>
      <c r="H446" s="12"/>
    </row>
    <row r="447">
      <c r="G447" s="12"/>
      <c r="H447" s="12"/>
    </row>
    <row r="448">
      <c r="G448" s="12"/>
      <c r="H448" s="12"/>
    </row>
    <row r="449">
      <c r="G449" s="12"/>
      <c r="H449" s="12"/>
    </row>
    <row r="450">
      <c r="G450" s="12"/>
      <c r="H450" s="12"/>
    </row>
    <row r="451">
      <c r="G451" s="12"/>
      <c r="H451" s="12"/>
    </row>
    <row r="452">
      <c r="G452" s="12"/>
      <c r="H452" s="12"/>
    </row>
    <row r="453">
      <c r="G453" s="12"/>
      <c r="H453" s="12"/>
    </row>
    <row r="454">
      <c r="G454" s="12"/>
      <c r="H454" s="12"/>
    </row>
    <row r="455">
      <c r="G455" s="12"/>
      <c r="H455" s="12"/>
    </row>
    <row r="456">
      <c r="G456" s="12"/>
      <c r="H456" s="12"/>
    </row>
    <row r="457">
      <c r="G457" s="12"/>
      <c r="H457" s="12"/>
    </row>
    <row r="458">
      <c r="G458" s="12"/>
      <c r="H458" s="12"/>
    </row>
    <row r="459">
      <c r="G459" s="12"/>
      <c r="H459" s="12"/>
    </row>
    <row r="460">
      <c r="G460" s="12"/>
      <c r="H460" s="12"/>
    </row>
    <row r="461">
      <c r="G461" s="12"/>
      <c r="H461" s="12"/>
    </row>
    <row r="462">
      <c r="G462" s="12"/>
      <c r="H462" s="12"/>
    </row>
    <row r="463">
      <c r="G463" s="12"/>
      <c r="H463" s="12"/>
    </row>
    <row r="464">
      <c r="G464" s="12"/>
      <c r="H464" s="12"/>
    </row>
    <row r="465">
      <c r="G465" s="12"/>
      <c r="H465" s="12"/>
    </row>
    <row r="466">
      <c r="G466" s="12"/>
      <c r="H466" s="12"/>
    </row>
    <row r="467">
      <c r="G467" s="12"/>
      <c r="H467" s="12"/>
    </row>
    <row r="468">
      <c r="G468" s="12"/>
      <c r="H468" s="12"/>
    </row>
    <row r="469">
      <c r="G469" s="12"/>
      <c r="H469" s="12"/>
    </row>
    <row r="470">
      <c r="G470" s="12"/>
      <c r="H470" s="12"/>
    </row>
    <row r="471">
      <c r="G471" s="12"/>
      <c r="H471" s="12"/>
    </row>
    <row r="472">
      <c r="G472" s="12"/>
      <c r="H472" s="12"/>
    </row>
    <row r="473">
      <c r="G473" s="12"/>
      <c r="H473" s="12"/>
    </row>
    <row r="474">
      <c r="G474" s="12"/>
      <c r="H474" s="12"/>
    </row>
    <row r="475">
      <c r="G475" s="12"/>
      <c r="H475" s="12"/>
    </row>
    <row r="476">
      <c r="G476" s="12"/>
      <c r="H476" s="12"/>
    </row>
    <row r="477">
      <c r="G477" s="12"/>
      <c r="H477" s="12"/>
    </row>
    <row r="478">
      <c r="G478" s="12"/>
      <c r="H478" s="12"/>
    </row>
    <row r="479">
      <c r="G479" s="12"/>
      <c r="H479" s="12"/>
    </row>
    <row r="480">
      <c r="G480" s="12"/>
      <c r="H480" s="12"/>
    </row>
    <row r="481">
      <c r="G481" s="12"/>
      <c r="H481" s="12"/>
    </row>
    <row r="482">
      <c r="G482" s="12"/>
      <c r="H482" s="12"/>
    </row>
    <row r="483">
      <c r="G483" s="12"/>
      <c r="H483" s="12"/>
    </row>
    <row r="484">
      <c r="G484" s="12"/>
      <c r="H484" s="12"/>
    </row>
    <row r="485">
      <c r="G485" s="12"/>
      <c r="H485" s="12"/>
    </row>
    <row r="486">
      <c r="G486" s="12"/>
      <c r="H486" s="12"/>
    </row>
    <row r="487">
      <c r="G487" s="12"/>
      <c r="H487" s="12"/>
    </row>
    <row r="488">
      <c r="G488" s="12"/>
      <c r="H488" s="12"/>
    </row>
    <row r="489">
      <c r="G489" s="12"/>
      <c r="H489" s="12"/>
    </row>
    <row r="490">
      <c r="G490" s="12"/>
      <c r="H490" s="12"/>
    </row>
    <row r="491">
      <c r="G491" s="12"/>
      <c r="H491" s="12"/>
    </row>
    <row r="492">
      <c r="G492" s="12"/>
      <c r="H492" s="12"/>
    </row>
    <row r="493">
      <c r="G493" s="12"/>
      <c r="H493" s="12"/>
    </row>
    <row r="494">
      <c r="G494" s="12"/>
      <c r="H494" s="12"/>
    </row>
    <row r="495">
      <c r="G495" s="12"/>
      <c r="H495" s="12"/>
    </row>
    <row r="496">
      <c r="G496" s="12"/>
      <c r="H496" s="12"/>
    </row>
    <row r="497">
      <c r="G497" s="12"/>
      <c r="H497" s="12"/>
    </row>
    <row r="498">
      <c r="G498" s="12"/>
      <c r="H498" s="12"/>
    </row>
    <row r="499">
      <c r="G499" s="12"/>
      <c r="H499" s="12"/>
    </row>
    <row r="500">
      <c r="G500" s="12"/>
      <c r="H500" s="12"/>
    </row>
    <row r="501">
      <c r="G501" s="12"/>
      <c r="H501" s="12"/>
    </row>
    <row r="502">
      <c r="G502" s="12"/>
      <c r="H502" s="12"/>
    </row>
    <row r="503">
      <c r="G503" s="12"/>
      <c r="H503" s="12"/>
    </row>
    <row r="504">
      <c r="G504" s="12"/>
      <c r="H504" s="12"/>
    </row>
    <row r="505">
      <c r="G505" s="12"/>
      <c r="H505" s="12"/>
    </row>
    <row r="506">
      <c r="G506" s="12"/>
      <c r="H506" s="12"/>
    </row>
    <row r="507">
      <c r="G507" s="12"/>
      <c r="H507" s="12"/>
    </row>
    <row r="508">
      <c r="G508" s="12"/>
      <c r="H508" s="12"/>
    </row>
    <row r="509">
      <c r="G509" s="12"/>
      <c r="H509" s="12"/>
    </row>
    <row r="510">
      <c r="G510" s="12"/>
      <c r="H510" s="12"/>
    </row>
    <row r="511">
      <c r="G511" s="12"/>
      <c r="H511" s="12"/>
    </row>
    <row r="512">
      <c r="G512" s="12"/>
      <c r="H512" s="12"/>
    </row>
    <row r="513">
      <c r="G513" s="12"/>
      <c r="H513" s="12"/>
    </row>
    <row r="514">
      <c r="G514" s="12"/>
      <c r="H514" s="12"/>
    </row>
    <row r="515">
      <c r="G515" s="12"/>
      <c r="H515" s="12"/>
    </row>
    <row r="516">
      <c r="G516" s="12"/>
      <c r="H516" s="12"/>
    </row>
    <row r="517">
      <c r="G517" s="12"/>
      <c r="H517" s="12"/>
    </row>
    <row r="518">
      <c r="G518" s="12"/>
      <c r="H518" s="12"/>
    </row>
    <row r="519">
      <c r="G519" s="12"/>
      <c r="H519" s="12"/>
    </row>
    <row r="520">
      <c r="G520" s="12"/>
      <c r="H520" s="12"/>
    </row>
    <row r="521">
      <c r="G521" s="12"/>
      <c r="H521" s="12"/>
    </row>
    <row r="522">
      <c r="G522" s="12"/>
      <c r="H522" s="12"/>
    </row>
    <row r="523">
      <c r="G523" s="12"/>
      <c r="H523" s="12"/>
    </row>
    <row r="524">
      <c r="G524" s="12"/>
      <c r="H524" s="12"/>
    </row>
    <row r="525">
      <c r="G525" s="12"/>
      <c r="H525" s="12"/>
    </row>
    <row r="526">
      <c r="G526" s="12"/>
      <c r="H526" s="12"/>
    </row>
    <row r="527">
      <c r="G527" s="12"/>
      <c r="H527" s="12"/>
    </row>
    <row r="528">
      <c r="G528" s="12"/>
      <c r="H528" s="12"/>
    </row>
    <row r="529">
      <c r="G529" s="12"/>
      <c r="H529" s="12"/>
    </row>
    <row r="530">
      <c r="G530" s="12"/>
      <c r="H530" s="12"/>
    </row>
    <row r="531">
      <c r="G531" s="12"/>
      <c r="H531" s="12"/>
    </row>
    <row r="532">
      <c r="G532" s="12"/>
      <c r="H532" s="12"/>
    </row>
    <row r="533">
      <c r="G533" s="12"/>
      <c r="H533" s="12"/>
    </row>
    <row r="534">
      <c r="G534" s="12"/>
      <c r="H534" s="12"/>
    </row>
    <row r="535">
      <c r="G535" s="12"/>
      <c r="H535" s="12"/>
    </row>
    <row r="536">
      <c r="G536" s="12"/>
      <c r="H536" s="12"/>
    </row>
    <row r="537">
      <c r="G537" s="12"/>
      <c r="H537" s="12"/>
    </row>
    <row r="538">
      <c r="G538" s="12"/>
      <c r="H538" s="12"/>
    </row>
    <row r="539">
      <c r="G539" s="12"/>
      <c r="H539" s="12"/>
    </row>
    <row r="540">
      <c r="G540" s="12"/>
      <c r="H540" s="12"/>
    </row>
    <row r="541">
      <c r="G541" s="12"/>
      <c r="H541" s="12"/>
    </row>
    <row r="542">
      <c r="G542" s="12"/>
      <c r="H542" s="12"/>
    </row>
    <row r="543">
      <c r="G543" s="12"/>
      <c r="H543" s="12"/>
    </row>
    <row r="544">
      <c r="G544" s="12"/>
      <c r="H544" s="12"/>
    </row>
    <row r="545">
      <c r="G545" s="12"/>
      <c r="H545" s="12"/>
    </row>
    <row r="546">
      <c r="G546" s="12"/>
      <c r="H546" s="12"/>
    </row>
    <row r="547">
      <c r="G547" s="12"/>
      <c r="H547" s="12"/>
    </row>
    <row r="548">
      <c r="G548" s="12"/>
      <c r="H548" s="12"/>
    </row>
    <row r="549">
      <c r="G549" s="12"/>
      <c r="H549" s="12"/>
    </row>
    <row r="550">
      <c r="G550" s="12"/>
      <c r="H550" s="12"/>
    </row>
    <row r="551">
      <c r="G551" s="12"/>
      <c r="H551" s="12"/>
    </row>
    <row r="552">
      <c r="G552" s="12"/>
      <c r="H552" s="12"/>
    </row>
    <row r="553">
      <c r="G553" s="12"/>
      <c r="H553" s="12"/>
    </row>
    <row r="554">
      <c r="G554" s="12"/>
      <c r="H554" s="12"/>
    </row>
    <row r="555">
      <c r="G555" s="12"/>
      <c r="H555" s="12"/>
    </row>
    <row r="556">
      <c r="G556" s="12"/>
      <c r="H556" s="12"/>
    </row>
    <row r="557">
      <c r="G557" s="12"/>
      <c r="H557" s="12"/>
    </row>
    <row r="558">
      <c r="G558" s="12"/>
      <c r="H558" s="12"/>
    </row>
    <row r="559">
      <c r="G559" s="12"/>
      <c r="H559" s="12"/>
    </row>
    <row r="560">
      <c r="G560" s="12"/>
      <c r="H560" s="12"/>
    </row>
    <row r="561">
      <c r="G561" s="12"/>
      <c r="H561" s="12"/>
    </row>
    <row r="562">
      <c r="G562" s="12"/>
      <c r="H562" s="12"/>
    </row>
    <row r="563">
      <c r="G563" s="12"/>
      <c r="H563" s="12"/>
    </row>
    <row r="564">
      <c r="G564" s="12"/>
      <c r="H564" s="12"/>
    </row>
    <row r="565">
      <c r="G565" s="12"/>
      <c r="H565" s="12"/>
    </row>
    <row r="566">
      <c r="G566" s="12"/>
      <c r="H566" s="12"/>
    </row>
    <row r="567">
      <c r="G567" s="12"/>
      <c r="H567" s="12"/>
    </row>
    <row r="568">
      <c r="G568" s="12"/>
      <c r="H568" s="12"/>
    </row>
    <row r="569">
      <c r="G569" s="12"/>
      <c r="H569" s="12"/>
    </row>
    <row r="570">
      <c r="G570" s="12"/>
      <c r="H570" s="12"/>
    </row>
    <row r="571">
      <c r="G571" s="12"/>
      <c r="H571" s="12"/>
    </row>
    <row r="572">
      <c r="G572" s="12"/>
      <c r="H572" s="12"/>
    </row>
    <row r="573">
      <c r="G573" s="12"/>
      <c r="H573" s="12"/>
    </row>
    <row r="574">
      <c r="G574" s="12"/>
      <c r="H574" s="12"/>
    </row>
    <row r="575">
      <c r="G575" s="12"/>
      <c r="H575" s="12"/>
    </row>
    <row r="576">
      <c r="G576" s="12"/>
      <c r="H576" s="12"/>
    </row>
    <row r="577">
      <c r="G577" s="12"/>
      <c r="H577" s="12"/>
    </row>
    <row r="578">
      <c r="G578" s="12"/>
      <c r="H578" s="12"/>
    </row>
    <row r="579">
      <c r="G579" s="12"/>
      <c r="H579" s="12"/>
    </row>
    <row r="580">
      <c r="G580" s="12"/>
      <c r="H580" s="12"/>
    </row>
    <row r="581">
      <c r="G581" s="12"/>
      <c r="H581" s="12"/>
    </row>
    <row r="582">
      <c r="G582" s="12"/>
      <c r="H582" s="12"/>
    </row>
    <row r="583">
      <c r="G583" s="12"/>
      <c r="H583" s="12"/>
    </row>
    <row r="584">
      <c r="G584" s="12"/>
      <c r="H584" s="12"/>
    </row>
    <row r="585">
      <c r="G585" s="12"/>
      <c r="H585" s="12"/>
    </row>
    <row r="586">
      <c r="G586" s="12"/>
      <c r="H586" s="12"/>
    </row>
    <row r="587">
      <c r="G587" s="12"/>
      <c r="H587" s="12"/>
    </row>
    <row r="588">
      <c r="G588" s="12"/>
      <c r="H588" s="12"/>
    </row>
    <row r="589">
      <c r="G589" s="12"/>
      <c r="H589" s="12"/>
    </row>
    <row r="590">
      <c r="G590" s="12"/>
      <c r="H590" s="12"/>
    </row>
    <row r="591">
      <c r="G591" s="12"/>
      <c r="H591" s="12"/>
    </row>
    <row r="592">
      <c r="G592" s="12"/>
      <c r="H592" s="12"/>
    </row>
    <row r="593">
      <c r="G593" s="12"/>
      <c r="H593" s="12"/>
    </row>
    <row r="594">
      <c r="G594" s="12"/>
      <c r="H594" s="12"/>
    </row>
    <row r="595">
      <c r="G595" s="12"/>
      <c r="H595" s="12"/>
    </row>
    <row r="596">
      <c r="G596" s="12"/>
      <c r="H596" s="12"/>
    </row>
    <row r="597">
      <c r="G597" s="12"/>
      <c r="H597" s="12"/>
    </row>
    <row r="598">
      <c r="G598" s="12"/>
      <c r="H598" s="12"/>
    </row>
    <row r="599">
      <c r="G599" s="12"/>
      <c r="H599" s="12"/>
    </row>
    <row r="600">
      <c r="G600" s="12"/>
      <c r="H600" s="12"/>
    </row>
    <row r="601">
      <c r="G601" s="12"/>
      <c r="H601" s="12"/>
    </row>
    <row r="602">
      <c r="G602" s="12"/>
      <c r="H602" s="12"/>
    </row>
    <row r="603">
      <c r="G603" s="12"/>
      <c r="H603" s="12"/>
    </row>
    <row r="604">
      <c r="G604" s="12"/>
      <c r="H604" s="12"/>
    </row>
    <row r="605">
      <c r="G605" s="12"/>
      <c r="H605" s="12"/>
    </row>
    <row r="606">
      <c r="G606" s="12"/>
      <c r="H606" s="12"/>
    </row>
    <row r="607">
      <c r="G607" s="12"/>
      <c r="H607" s="12"/>
    </row>
    <row r="608">
      <c r="G608" s="12"/>
      <c r="H608" s="12"/>
    </row>
    <row r="609">
      <c r="G609" s="12"/>
      <c r="H609" s="12"/>
    </row>
    <row r="610">
      <c r="G610" s="12"/>
      <c r="H610" s="12"/>
    </row>
    <row r="611">
      <c r="G611" s="12"/>
      <c r="H611" s="12"/>
    </row>
    <row r="612">
      <c r="G612" s="12"/>
      <c r="H612" s="12"/>
    </row>
    <row r="613">
      <c r="G613" s="12"/>
      <c r="H613" s="12"/>
    </row>
    <row r="614">
      <c r="G614" s="12"/>
      <c r="H614" s="12"/>
    </row>
    <row r="615">
      <c r="G615" s="12"/>
      <c r="H615" s="12"/>
    </row>
    <row r="616">
      <c r="G616" s="12"/>
      <c r="H616" s="12"/>
    </row>
    <row r="617">
      <c r="G617" s="12"/>
      <c r="H617" s="12"/>
    </row>
    <row r="618">
      <c r="G618" s="12"/>
      <c r="H618" s="12"/>
    </row>
    <row r="619">
      <c r="G619" s="12"/>
      <c r="H619" s="12"/>
    </row>
    <row r="620">
      <c r="G620" s="12"/>
      <c r="H620" s="12"/>
    </row>
    <row r="621">
      <c r="G621" s="12"/>
      <c r="H621" s="12"/>
    </row>
    <row r="622">
      <c r="G622" s="12"/>
      <c r="H622" s="12"/>
    </row>
    <row r="623">
      <c r="G623" s="12"/>
      <c r="H623" s="12"/>
    </row>
    <row r="624">
      <c r="G624" s="12"/>
      <c r="H624" s="12"/>
    </row>
    <row r="625">
      <c r="G625" s="12"/>
      <c r="H625" s="12"/>
    </row>
    <row r="626">
      <c r="G626" s="12"/>
      <c r="H626" s="12"/>
    </row>
    <row r="627">
      <c r="G627" s="12"/>
      <c r="H627" s="12"/>
    </row>
    <row r="628">
      <c r="G628" s="12"/>
      <c r="H628" s="12"/>
    </row>
    <row r="629">
      <c r="G629" s="12"/>
      <c r="H629" s="12"/>
    </row>
    <row r="630">
      <c r="G630" s="12"/>
      <c r="H630" s="12"/>
    </row>
    <row r="631">
      <c r="G631" s="12"/>
      <c r="H631" s="12"/>
    </row>
    <row r="632">
      <c r="G632" s="12"/>
      <c r="H632" s="12"/>
    </row>
    <row r="633">
      <c r="G633" s="12"/>
      <c r="H633" s="12"/>
    </row>
    <row r="634">
      <c r="G634" s="12"/>
      <c r="H634" s="12"/>
    </row>
    <row r="635">
      <c r="G635" s="12"/>
      <c r="H635" s="12"/>
    </row>
    <row r="636">
      <c r="G636" s="12"/>
      <c r="H636" s="12"/>
    </row>
    <row r="637">
      <c r="G637" s="12"/>
      <c r="H637" s="12"/>
    </row>
    <row r="638">
      <c r="G638" s="12"/>
      <c r="H638" s="12"/>
    </row>
    <row r="639">
      <c r="G639" s="12"/>
      <c r="H639" s="12"/>
    </row>
    <row r="640">
      <c r="G640" s="12"/>
      <c r="H640" s="12"/>
    </row>
    <row r="641">
      <c r="G641" s="12"/>
      <c r="H641" s="12"/>
    </row>
    <row r="642">
      <c r="G642" s="12"/>
      <c r="H642" s="12"/>
    </row>
    <row r="643">
      <c r="G643" s="12"/>
      <c r="H643" s="12"/>
    </row>
    <row r="644">
      <c r="G644" s="12"/>
      <c r="H644" s="12"/>
    </row>
    <row r="645">
      <c r="G645" s="12"/>
      <c r="H645" s="12"/>
    </row>
    <row r="646">
      <c r="G646" s="12"/>
      <c r="H646" s="12"/>
    </row>
    <row r="647">
      <c r="G647" s="12"/>
      <c r="H647" s="12"/>
    </row>
    <row r="648">
      <c r="G648" s="12"/>
      <c r="H648" s="12"/>
    </row>
    <row r="649">
      <c r="G649" s="12"/>
      <c r="H649" s="12"/>
    </row>
    <row r="650">
      <c r="G650" s="12"/>
      <c r="H650" s="12"/>
    </row>
    <row r="651">
      <c r="G651" s="12"/>
      <c r="H651" s="12"/>
    </row>
    <row r="652">
      <c r="G652" s="12"/>
      <c r="H652" s="12"/>
    </row>
    <row r="653">
      <c r="G653" s="12"/>
      <c r="H653" s="12"/>
    </row>
    <row r="654">
      <c r="G654" s="12"/>
      <c r="H654" s="12"/>
    </row>
    <row r="655">
      <c r="G655" s="12"/>
      <c r="H655" s="12"/>
    </row>
    <row r="656">
      <c r="G656" s="12"/>
      <c r="H656" s="12"/>
    </row>
    <row r="657">
      <c r="G657" s="12"/>
      <c r="H657" s="12"/>
    </row>
    <row r="658">
      <c r="G658" s="12"/>
      <c r="H658" s="12"/>
    </row>
    <row r="659">
      <c r="G659" s="12"/>
      <c r="H659" s="12"/>
    </row>
    <row r="660">
      <c r="G660" s="12"/>
      <c r="H660" s="12"/>
    </row>
    <row r="661">
      <c r="G661" s="12"/>
      <c r="H661" s="12"/>
    </row>
    <row r="662">
      <c r="G662" s="12"/>
      <c r="H662" s="12"/>
    </row>
    <row r="663">
      <c r="G663" s="12"/>
      <c r="H663" s="12"/>
    </row>
    <row r="664">
      <c r="G664" s="12"/>
      <c r="H664" s="12"/>
    </row>
    <row r="665">
      <c r="G665" s="12"/>
      <c r="H665" s="12"/>
    </row>
    <row r="666">
      <c r="G666" s="12"/>
      <c r="H666" s="12"/>
    </row>
    <row r="667">
      <c r="G667" s="12"/>
      <c r="H667" s="12"/>
    </row>
    <row r="668">
      <c r="G668" s="12"/>
      <c r="H668" s="12"/>
    </row>
    <row r="669">
      <c r="G669" s="12"/>
      <c r="H669" s="12"/>
    </row>
    <row r="670">
      <c r="G670" s="12"/>
      <c r="H670" s="12"/>
    </row>
    <row r="671">
      <c r="G671" s="12"/>
      <c r="H671" s="12"/>
    </row>
    <row r="672">
      <c r="G672" s="12"/>
      <c r="H672" s="12"/>
    </row>
    <row r="673">
      <c r="G673" s="12"/>
      <c r="H673" s="12"/>
    </row>
    <row r="674">
      <c r="G674" s="12"/>
      <c r="H674" s="12"/>
    </row>
    <row r="675">
      <c r="G675" s="12"/>
      <c r="H675" s="12"/>
    </row>
    <row r="676">
      <c r="G676" s="12"/>
      <c r="H676" s="12"/>
    </row>
    <row r="677">
      <c r="G677" s="12"/>
      <c r="H677" s="12"/>
    </row>
    <row r="678">
      <c r="G678" s="12"/>
      <c r="H678" s="12"/>
    </row>
    <row r="679">
      <c r="G679" s="12"/>
      <c r="H679" s="12"/>
    </row>
    <row r="680">
      <c r="G680" s="12"/>
      <c r="H680" s="12"/>
    </row>
    <row r="681">
      <c r="G681" s="12"/>
      <c r="H681" s="12"/>
    </row>
    <row r="682">
      <c r="G682" s="12"/>
      <c r="H682" s="12"/>
    </row>
    <row r="683">
      <c r="G683" s="12"/>
      <c r="H683" s="12"/>
    </row>
    <row r="684">
      <c r="G684" s="12"/>
      <c r="H684" s="12"/>
    </row>
    <row r="685">
      <c r="G685" s="12"/>
      <c r="H685" s="12"/>
    </row>
    <row r="686">
      <c r="G686" s="12"/>
      <c r="H686" s="12"/>
    </row>
    <row r="687">
      <c r="G687" s="12"/>
      <c r="H687" s="12"/>
    </row>
    <row r="688">
      <c r="G688" s="12"/>
      <c r="H688" s="12"/>
    </row>
    <row r="689">
      <c r="G689" s="12"/>
      <c r="H689" s="12"/>
    </row>
    <row r="690">
      <c r="G690" s="12"/>
      <c r="H690" s="12"/>
    </row>
    <row r="691">
      <c r="G691" s="12"/>
      <c r="H691" s="12"/>
    </row>
    <row r="692">
      <c r="G692" s="12"/>
      <c r="H692" s="12"/>
    </row>
    <row r="693">
      <c r="G693" s="12"/>
      <c r="H693" s="12"/>
    </row>
    <row r="694">
      <c r="G694" s="12"/>
      <c r="H694" s="12"/>
    </row>
    <row r="695">
      <c r="G695" s="12"/>
      <c r="H695" s="12"/>
    </row>
    <row r="696">
      <c r="G696" s="12"/>
      <c r="H696" s="12"/>
    </row>
    <row r="697">
      <c r="G697" s="12"/>
      <c r="H697" s="12"/>
    </row>
    <row r="698">
      <c r="G698" s="12"/>
      <c r="H698" s="12"/>
    </row>
    <row r="699">
      <c r="G699" s="12"/>
      <c r="H699" s="12"/>
    </row>
    <row r="700">
      <c r="G700" s="12"/>
      <c r="H700" s="12"/>
    </row>
    <row r="701">
      <c r="G701" s="12"/>
      <c r="H701" s="12"/>
    </row>
    <row r="702">
      <c r="G702" s="12"/>
      <c r="H702" s="12"/>
    </row>
    <row r="703">
      <c r="G703" s="12"/>
      <c r="H703" s="12"/>
    </row>
    <row r="704">
      <c r="G704" s="12"/>
      <c r="H704" s="12"/>
    </row>
    <row r="705">
      <c r="G705" s="12"/>
      <c r="H705" s="12"/>
    </row>
    <row r="706">
      <c r="G706" s="12"/>
      <c r="H706" s="12"/>
    </row>
    <row r="707">
      <c r="G707" s="12"/>
      <c r="H707" s="12"/>
    </row>
    <row r="708">
      <c r="G708" s="12"/>
      <c r="H708" s="12"/>
    </row>
    <row r="709">
      <c r="G709" s="12"/>
      <c r="H709" s="12"/>
    </row>
    <row r="710">
      <c r="G710" s="12"/>
      <c r="H710" s="12"/>
    </row>
    <row r="711">
      <c r="G711" s="12"/>
      <c r="H711" s="12"/>
    </row>
    <row r="712">
      <c r="G712" s="12"/>
      <c r="H712" s="12"/>
    </row>
    <row r="713">
      <c r="G713" s="12"/>
      <c r="H713" s="12"/>
    </row>
    <row r="714">
      <c r="G714" s="12"/>
      <c r="H714" s="12"/>
    </row>
    <row r="715">
      <c r="G715" s="12"/>
      <c r="H715" s="12"/>
    </row>
    <row r="716">
      <c r="G716" s="12"/>
      <c r="H716" s="12"/>
    </row>
    <row r="717">
      <c r="G717" s="12"/>
      <c r="H717" s="12"/>
    </row>
    <row r="718">
      <c r="G718" s="12"/>
      <c r="H718" s="12"/>
    </row>
    <row r="719">
      <c r="G719" s="12"/>
      <c r="H719" s="12"/>
    </row>
    <row r="720">
      <c r="G720" s="12"/>
      <c r="H720" s="12"/>
    </row>
    <row r="721">
      <c r="G721" s="12"/>
      <c r="H721" s="12"/>
    </row>
    <row r="722">
      <c r="G722" s="12"/>
      <c r="H722" s="12"/>
    </row>
    <row r="723">
      <c r="G723" s="12"/>
      <c r="H723" s="12"/>
    </row>
    <row r="724">
      <c r="G724" s="12"/>
      <c r="H724" s="12"/>
    </row>
    <row r="725">
      <c r="G725" s="12"/>
      <c r="H725" s="12"/>
    </row>
    <row r="726">
      <c r="G726" s="12"/>
      <c r="H726" s="12"/>
    </row>
    <row r="727">
      <c r="G727" s="12"/>
      <c r="H727" s="12"/>
    </row>
    <row r="728">
      <c r="G728" s="12"/>
      <c r="H728" s="12"/>
    </row>
    <row r="729">
      <c r="G729" s="12"/>
      <c r="H729" s="12"/>
    </row>
    <row r="730">
      <c r="G730" s="12"/>
      <c r="H730" s="12"/>
    </row>
    <row r="731">
      <c r="G731" s="12"/>
      <c r="H731" s="12"/>
    </row>
    <row r="732">
      <c r="G732" s="12"/>
      <c r="H732" s="12"/>
    </row>
    <row r="733">
      <c r="G733" s="12"/>
      <c r="H733" s="12"/>
    </row>
    <row r="734">
      <c r="G734" s="12"/>
      <c r="H734" s="12"/>
    </row>
    <row r="735">
      <c r="G735" s="12"/>
      <c r="H735" s="12"/>
    </row>
    <row r="736">
      <c r="G736" s="12"/>
      <c r="H736" s="12"/>
    </row>
    <row r="737">
      <c r="G737" s="12"/>
      <c r="H737" s="12"/>
    </row>
    <row r="738">
      <c r="G738" s="12"/>
      <c r="H738" s="12"/>
    </row>
    <row r="739">
      <c r="G739" s="12"/>
      <c r="H739" s="12"/>
    </row>
    <row r="740">
      <c r="G740" s="12"/>
      <c r="H740" s="12"/>
    </row>
    <row r="741">
      <c r="G741" s="12"/>
      <c r="H741" s="12"/>
    </row>
    <row r="742">
      <c r="G742" s="12"/>
      <c r="H742" s="12"/>
    </row>
    <row r="743">
      <c r="G743" s="12"/>
      <c r="H743" s="12"/>
    </row>
    <row r="744">
      <c r="G744" s="12"/>
      <c r="H744" s="12"/>
    </row>
    <row r="745">
      <c r="G745" s="12"/>
      <c r="H745" s="12"/>
    </row>
    <row r="746">
      <c r="G746" s="12"/>
      <c r="H746" s="12"/>
    </row>
    <row r="747">
      <c r="G747" s="12"/>
      <c r="H747" s="12"/>
    </row>
    <row r="748">
      <c r="G748" s="12"/>
      <c r="H748" s="12"/>
    </row>
    <row r="749">
      <c r="G749" s="12"/>
      <c r="H749" s="12"/>
    </row>
    <row r="750">
      <c r="G750" s="12"/>
      <c r="H750" s="12"/>
    </row>
    <row r="751">
      <c r="G751" s="12"/>
      <c r="H751" s="12"/>
    </row>
    <row r="752">
      <c r="G752" s="12"/>
      <c r="H752" s="12"/>
    </row>
    <row r="753">
      <c r="G753" s="12"/>
      <c r="H753" s="12"/>
    </row>
    <row r="754">
      <c r="G754" s="12"/>
      <c r="H754" s="12"/>
    </row>
    <row r="755">
      <c r="G755" s="12"/>
      <c r="H755" s="12"/>
    </row>
    <row r="756">
      <c r="G756" s="12"/>
      <c r="H756" s="12"/>
    </row>
    <row r="757">
      <c r="G757" s="12"/>
      <c r="H757" s="12"/>
    </row>
    <row r="758">
      <c r="G758" s="12"/>
      <c r="H758" s="12"/>
    </row>
    <row r="759">
      <c r="G759" s="12"/>
      <c r="H759" s="12"/>
    </row>
    <row r="760">
      <c r="G760" s="12"/>
      <c r="H760" s="12"/>
    </row>
    <row r="761">
      <c r="G761" s="12"/>
      <c r="H761" s="12"/>
    </row>
    <row r="762">
      <c r="G762" s="12"/>
      <c r="H762" s="12"/>
    </row>
    <row r="763">
      <c r="G763" s="12"/>
      <c r="H763" s="12"/>
    </row>
    <row r="764">
      <c r="G764" s="12"/>
      <c r="H764" s="12"/>
    </row>
    <row r="765">
      <c r="G765" s="12"/>
      <c r="H765" s="12"/>
    </row>
    <row r="766">
      <c r="G766" s="12"/>
      <c r="H766" s="12"/>
    </row>
    <row r="767">
      <c r="G767" s="12"/>
      <c r="H767" s="12"/>
    </row>
    <row r="768">
      <c r="G768" s="12"/>
      <c r="H768" s="12"/>
    </row>
    <row r="769">
      <c r="G769" s="12"/>
      <c r="H769" s="12"/>
    </row>
    <row r="770">
      <c r="G770" s="12"/>
      <c r="H770" s="12"/>
    </row>
    <row r="771">
      <c r="G771" s="12"/>
      <c r="H771" s="12"/>
    </row>
    <row r="772">
      <c r="G772" s="12"/>
      <c r="H772" s="12"/>
    </row>
    <row r="773">
      <c r="G773" s="12"/>
      <c r="H773" s="12"/>
    </row>
    <row r="774">
      <c r="G774" s="12"/>
      <c r="H774" s="12"/>
    </row>
    <row r="775">
      <c r="G775" s="12"/>
      <c r="H775" s="12"/>
    </row>
    <row r="776">
      <c r="G776" s="12"/>
      <c r="H776" s="12"/>
    </row>
    <row r="777">
      <c r="G777" s="12"/>
      <c r="H777" s="12"/>
    </row>
    <row r="778">
      <c r="G778" s="12"/>
      <c r="H778" s="12"/>
    </row>
    <row r="779">
      <c r="G779" s="12"/>
      <c r="H779" s="12"/>
    </row>
    <row r="780">
      <c r="G780" s="12"/>
      <c r="H780" s="12"/>
    </row>
    <row r="781">
      <c r="G781" s="12"/>
      <c r="H781" s="12"/>
    </row>
    <row r="782">
      <c r="G782" s="12"/>
      <c r="H782" s="12"/>
    </row>
    <row r="783">
      <c r="G783" s="12"/>
      <c r="H783" s="12"/>
    </row>
    <row r="784">
      <c r="G784" s="12"/>
      <c r="H784" s="12"/>
    </row>
    <row r="785">
      <c r="G785" s="12"/>
      <c r="H785" s="12"/>
    </row>
    <row r="786">
      <c r="G786" s="12"/>
      <c r="H786" s="12"/>
    </row>
    <row r="787">
      <c r="G787" s="12"/>
      <c r="H787" s="12"/>
    </row>
    <row r="788">
      <c r="G788" s="12"/>
      <c r="H788" s="12"/>
    </row>
    <row r="789">
      <c r="G789" s="12"/>
      <c r="H789" s="12"/>
    </row>
    <row r="790">
      <c r="G790" s="12"/>
      <c r="H790" s="12"/>
    </row>
    <row r="791">
      <c r="G791" s="12"/>
      <c r="H791" s="12"/>
    </row>
    <row r="792">
      <c r="G792" s="12"/>
      <c r="H792" s="12"/>
    </row>
    <row r="793">
      <c r="G793" s="12"/>
      <c r="H793" s="12"/>
    </row>
    <row r="794">
      <c r="G794" s="12"/>
      <c r="H794" s="12"/>
    </row>
    <row r="795">
      <c r="G795" s="12"/>
      <c r="H795" s="12"/>
    </row>
    <row r="796">
      <c r="G796" s="12"/>
      <c r="H796" s="12"/>
    </row>
    <row r="797">
      <c r="G797" s="12"/>
      <c r="H797" s="12"/>
    </row>
    <row r="798">
      <c r="G798" s="12"/>
      <c r="H798" s="12"/>
    </row>
    <row r="799">
      <c r="G799" s="12"/>
      <c r="H799" s="12"/>
    </row>
    <row r="800">
      <c r="G800" s="12"/>
      <c r="H800" s="12"/>
    </row>
    <row r="801">
      <c r="G801" s="12"/>
      <c r="H801" s="12"/>
    </row>
    <row r="802">
      <c r="G802" s="12"/>
      <c r="H802" s="12"/>
    </row>
    <row r="803">
      <c r="G803" s="12"/>
      <c r="H803" s="12"/>
    </row>
    <row r="804">
      <c r="G804" s="12"/>
      <c r="H804" s="12"/>
    </row>
    <row r="805">
      <c r="G805" s="12"/>
      <c r="H805" s="12"/>
    </row>
    <row r="806">
      <c r="G806" s="12"/>
      <c r="H806" s="12"/>
    </row>
    <row r="807">
      <c r="G807" s="12"/>
      <c r="H807" s="12"/>
    </row>
    <row r="808">
      <c r="G808" s="12"/>
      <c r="H808" s="12"/>
    </row>
    <row r="809">
      <c r="G809" s="12"/>
      <c r="H809" s="12"/>
    </row>
    <row r="810">
      <c r="G810" s="12"/>
      <c r="H810" s="12"/>
    </row>
    <row r="811">
      <c r="G811" s="12"/>
      <c r="H811" s="12"/>
    </row>
    <row r="812">
      <c r="G812" s="12"/>
      <c r="H812" s="12"/>
    </row>
    <row r="813">
      <c r="G813" s="12"/>
      <c r="H813" s="12"/>
    </row>
    <row r="814">
      <c r="G814" s="12"/>
      <c r="H814" s="12"/>
    </row>
    <row r="815">
      <c r="G815" s="12"/>
      <c r="H815" s="12"/>
    </row>
    <row r="816">
      <c r="G816" s="12"/>
      <c r="H816" s="12"/>
    </row>
    <row r="817">
      <c r="G817" s="12"/>
      <c r="H817" s="12"/>
    </row>
    <row r="818">
      <c r="G818" s="12"/>
      <c r="H818" s="12"/>
    </row>
    <row r="819">
      <c r="G819" s="12"/>
      <c r="H819" s="12"/>
    </row>
    <row r="820">
      <c r="G820" s="12"/>
      <c r="H820" s="12"/>
    </row>
    <row r="821">
      <c r="G821" s="12"/>
      <c r="H821" s="12"/>
    </row>
    <row r="822">
      <c r="G822" s="12"/>
      <c r="H822" s="12"/>
    </row>
    <row r="823">
      <c r="G823" s="12"/>
      <c r="H823" s="12"/>
    </row>
    <row r="824">
      <c r="G824" s="12"/>
      <c r="H824" s="12"/>
    </row>
    <row r="825">
      <c r="G825" s="12"/>
      <c r="H825" s="12"/>
    </row>
    <row r="826">
      <c r="G826" s="12"/>
      <c r="H826" s="12"/>
    </row>
    <row r="827">
      <c r="G827" s="12"/>
      <c r="H827" s="12"/>
    </row>
    <row r="828">
      <c r="G828" s="12"/>
      <c r="H828" s="12"/>
    </row>
    <row r="829">
      <c r="G829" s="12"/>
      <c r="H829" s="12"/>
    </row>
    <row r="830">
      <c r="G830" s="12"/>
      <c r="H830" s="12"/>
    </row>
    <row r="831">
      <c r="G831" s="12"/>
      <c r="H831" s="12"/>
    </row>
    <row r="832">
      <c r="G832" s="12"/>
      <c r="H832" s="12"/>
    </row>
    <row r="833">
      <c r="G833" s="12"/>
      <c r="H833" s="12"/>
    </row>
    <row r="834">
      <c r="G834" s="12"/>
      <c r="H834" s="12"/>
    </row>
    <row r="835">
      <c r="G835" s="12"/>
      <c r="H835" s="12"/>
    </row>
    <row r="836">
      <c r="G836" s="12"/>
      <c r="H836" s="12"/>
    </row>
    <row r="837">
      <c r="G837" s="12"/>
      <c r="H837" s="12"/>
    </row>
    <row r="838">
      <c r="G838" s="12"/>
      <c r="H838" s="12"/>
    </row>
    <row r="839">
      <c r="G839" s="12"/>
      <c r="H839" s="12"/>
    </row>
    <row r="840">
      <c r="G840" s="12"/>
      <c r="H840" s="12"/>
    </row>
    <row r="841">
      <c r="G841" s="12"/>
      <c r="H841" s="12"/>
    </row>
    <row r="842">
      <c r="G842" s="12"/>
      <c r="H842" s="12"/>
    </row>
    <row r="843">
      <c r="G843" s="12"/>
      <c r="H843" s="12"/>
    </row>
    <row r="844">
      <c r="G844" s="12"/>
      <c r="H844" s="12"/>
    </row>
    <row r="845">
      <c r="G845" s="12"/>
      <c r="H845" s="12"/>
    </row>
    <row r="846">
      <c r="G846" s="12"/>
      <c r="H846" s="12"/>
    </row>
    <row r="847">
      <c r="G847" s="12"/>
      <c r="H847" s="12"/>
    </row>
    <row r="848">
      <c r="G848" s="12"/>
      <c r="H848" s="12"/>
    </row>
    <row r="849">
      <c r="G849" s="12"/>
      <c r="H849" s="12"/>
    </row>
    <row r="850">
      <c r="G850" s="12"/>
      <c r="H850" s="12"/>
    </row>
    <row r="851">
      <c r="G851" s="12"/>
      <c r="H851" s="12"/>
    </row>
    <row r="852">
      <c r="G852" s="12"/>
      <c r="H852" s="12"/>
    </row>
    <row r="853">
      <c r="G853" s="12"/>
      <c r="H853" s="12"/>
    </row>
    <row r="854">
      <c r="G854" s="12"/>
      <c r="H854" s="12"/>
    </row>
    <row r="855">
      <c r="G855" s="12"/>
      <c r="H855" s="12"/>
    </row>
    <row r="856">
      <c r="G856" s="12"/>
      <c r="H856" s="12"/>
    </row>
    <row r="857">
      <c r="G857" s="12"/>
      <c r="H857" s="12"/>
    </row>
    <row r="858">
      <c r="G858" s="12"/>
      <c r="H858" s="12"/>
    </row>
    <row r="859">
      <c r="G859" s="12"/>
      <c r="H859" s="12"/>
    </row>
    <row r="860">
      <c r="G860" s="12"/>
      <c r="H860" s="12"/>
    </row>
    <row r="861">
      <c r="G861" s="12"/>
      <c r="H861" s="12"/>
    </row>
    <row r="862">
      <c r="G862" s="12"/>
      <c r="H862" s="12"/>
    </row>
    <row r="863">
      <c r="G863" s="12"/>
      <c r="H863" s="12"/>
    </row>
    <row r="864">
      <c r="G864" s="12"/>
      <c r="H864" s="12"/>
    </row>
    <row r="865">
      <c r="G865" s="12"/>
      <c r="H865" s="12"/>
    </row>
    <row r="866">
      <c r="G866" s="12"/>
      <c r="H866" s="12"/>
    </row>
    <row r="867">
      <c r="G867" s="12"/>
      <c r="H867" s="12"/>
    </row>
    <row r="868">
      <c r="G868" s="12"/>
      <c r="H868" s="12"/>
    </row>
    <row r="869">
      <c r="G869" s="12"/>
      <c r="H869" s="12"/>
    </row>
    <row r="870">
      <c r="G870" s="12"/>
      <c r="H870" s="12"/>
    </row>
    <row r="871">
      <c r="G871" s="12"/>
      <c r="H871" s="12"/>
    </row>
    <row r="872">
      <c r="G872" s="12"/>
      <c r="H872" s="12"/>
    </row>
    <row r="873">
      <c r="G873" s="12"/>
      <c r="H873" s="12"/>
    </row>
    <row r="874">
      <c r="G874" s="12"/>
      <c r="H874" s="12"/>
    </row>
    <row r="875">
      <c r="G875" s="12"/>
      <c r="H875" s="12"/>
    </row>
    <row r="876">
      <c r="G876" s="12"/>
      <c r="H876" s="12"/>
    </row>
    <row r="877">
      <c r="G877" s="12"/>
      <c r="H877" s="12"/>
    </row>
    <row r="878">
      <c r="G878" s="12"/>
      <c r="H878" s="12"/>
    </row>
    <row r="879">
      <c r="G879" s="12"/>
      <c r="H879" s="12"/>
    </row>
    <row r="880">
      <c r="G880" s="12"/>
      <c r="H880" s="12"/>
    </row>
    <row r="881">
      <c r="G881" s="12"/>
      <c r="H881" s="12"/>
    </row>
    <row r="882">
      <c r="G882" s="12"/>
      <c r="H882" s="12"/>
    </row>
    <row r="883">
      <c r="G883" s="12"/>
      <c r="H883" s="12"/>
    </row>
    <row r="884">
      <c r="G884" s="12"/>
      <c r="H884" s="12"/>
    </row>
    <row r="885">
      <c r="G885" s="12"/>
      <c r="H885" s="12"/>
    </row>
    <row r="886">
      <c r="G886" s="12"/>
      <c r="H886" s="12"/>
    </row>
    <row r="887">
      <c r="G887" s="12"/>
      <c r="H887" s="12"/>
    </row>
    <row r="888">
      <c r="G888" s="12"/>
      <c r="H888" s="12"/>
    </row>
    <row r="889">
      <c r="G889" s="12"/>
      <c r="H889" s="12"/>
    </row>
    <row r="890">
      <c r="G890" s="12"/>
      <c r="H890" s="12"/>
    </row>
    <row r="891">
      <c r="G891" s="12"/>
      <c r="H891" s="12"/>
    </row>
    <row r="892">
      <c r="G892" s="12"/>
      <c r="H892" s="12"/>
    </row>
    <row r="893">
      <c r="G893" s="12"/>
      <c r="H893" s="12"/>
    </row>
    <row r="894">
      <c r="G894" s="12"/>
      <c r="H894" s="12"/>
    </row>
    <row r="895">
      <c r="G895" s="12"/>
      <c r="H895" s="12"/>
    </row>
    <row r="896">
      <c r="G896" s="12"/>
      <c r="H896" s="12"/>
    </row>
    <row r="897">
      <c r="G897" s="12"/>
      <c r="H897" s="12"/>
    </row>
    <row r="898">
      <c r="G898" s="12"/>
      <c r="H898" s="12"/>
    </row>
    <row r="899">
      <c r="G899" s="12"/>
      <c r="H899" s="12"/>
    </row>
    <row r="900">
      <c r="G900" s="12"/>
      <c r="H900" s="12"/>
    </row>
    <row r="901">
      <c r="G901" s="12"/>
      <c r="H901" s="12"/>
    </row>
    <row r="902">
      <c r="G902" s="12"/>
      <c r="H902" s="12"/>
    </row>
    <row r="903">
      <c r="G903" s="12"/>
      <c r="H903" s="12"/>
    </row>
    <row r="904">
      <c r="G904" s="12"/>
      <c r="H904" s="12"/>
    </row>
    <row r="905">
      <c r="G905" s="12"/>
      <c r="H905" s="12"/>
    </row>
    <row r="906">
      <c r="G906" s="12"/>
      <c r="H906" s="12"/>
    </row>
    <row r="907">
      <c r="G907" s="12"/>
      <c r="H907" s="12"/>
    </row>
    <row r="908">
      <c r="G908" s="12"/>
      <c r="H908" s="12"/>
    </row>
    <row r="909">
      <c r="G909" s="12"/>
      <c r="H909" s="12"/>
    </row>
    <row r="910">
      <c r="G910" s="12"/>
      <c r="H910" s="12"/>
    </row>
    <row r="911">
      <c r="G911" s="12"/>
      <c r="H911" s="12"/>
    </row>
    <row r="912">
      <c r="G912" s="12"/>
      <c r="H912" s="12"/>
    </row>
    <row r="913">
      <c r="G913" s="12"/>
      <c r="H913" s="12"/>
    </row>
    <row r="914">
      <c r="G914" s="12"/>
      <c r="H914" s="12"/>
    </row>
    <row r="915">
      <c r="G915" s="12"/>
      <c r="H915" s="12"/>
    </row>
    <row r="916">
      <c r="G916" s="12"/>
      <c r="H916" s="12"/>
    </row>
    <row r="917">
      <c r="G917" s="12"/>
      <c r="H917" s="12"/>
    </row>
    <row r="918">
      <c r="G918" s="12"/>
      <c r="H918" s="12"/>
    </row>
    <row r="919">
      <c r="G919" s="12"/>
      <c r="H919" s="12"/>
    </row>
    <row r="920">
      <c r="G920" s="12"/>
      <c r="H920" s="12"/>
    </row>
    <row r="921">
      <c r="G921" s="12"/>
      <c r="H921" s="12"/>
    </row>
    <row r="922">
      <c r="G922" s="12"/>
      <c r="H922" s="12"/>
    </row>
    <row r="923">
      <c r="G923" s="12"/>
      <c r="H923" s="12"/>
    </row>
    <row r="924">
      <c r="G924" s="12"/>
      <c r="H924" s="12"/>
    </row>
    <row r="925">
      <c r="G925" s="12"/>
      <c r="H925" s="12"/>
    </row>
    <row r="926">
      <c r="G926" s="12"/>
      <c r="H926" s="12"/>
    </row>
    <row r="927">
      <c r="G927" s="12"/>
      <c r="H927" s="12"/>
    </row>
    <row r="928">
      <c r="G928" s="12"/>
      <c r="H928" s="12"/>
    </row>
    <row r="929">
      <c r="G929" s="12"/>
      <c r="H929" s="12"/>
    </row>
    <row r="930">
      <c r="G930" s="12"/>
      <c r="H930" s="12"/>
    </row>
    <row r="931">
      <c r="G931" s="12"/>
      <c r="H931" s="12"/>
    </row>
    <row r="932">
      <c r="G932" s="12"/>
      <c r="H932" s="12"/>
    </row>
    <row r="933">
      <c r="G933" s="12"/>
      <c r="H933" s="12"/>
    </row>
    <row r="934">
      <c r="G934" s="12"/>
      <c r="H934" s="12"/>
    </row>
    <row r="935">
      <c r="G935" s="12"/>
      <c r="H935" s="12"/>
    </row>
    <row r="936">
      <c r="G936" s="12"/>
      <c r="H936" s="12"/>
    </row>
    <row r="937">
      <c r="G937" s="12"/>
      <c r="H937" s="12"/>
    </row>
    <row r="938">
      <c r="G938" s="12"/>
      <c r="H938" s="12"/>
    </row>
    <row r="939">
      <c r="G939" s="12"/>
      <c r="H939" s="12"/>
    </row>
    <row r="940">
      <c r="G940" s="12"/>
      <c r="H940" s="12"/>
    </row>
    <row r="941">
      <c r="G941" s="12"/>
      <c r="H941" s="12"/>
    </row>
    <row r="942">
      <c r="G942" s="12"/>
      <c r="H942" s="12"/>
    </row>
    <row r="943">
      <c r="G943" s="12"/>
      <c r="H943" s="12"/>
    </row>
    <row r="944">
      <c r="G944" s="12"/>
      <c r="H944" s="12"/>
    </row>
    <row r="945">
      <c r="G945" s="12"/>
      <c r="H945" s="12"/>
    </row>
    <row r="946">
      <c r="G946" s="12"/>
      <c r="H946" s="12"/>
    </row>
    <row r="947">
      <c r="G947" s="12"/>
      <c r="H947" s="12"/>
    </row>
    <row r="948">
      <c r="G948" s="12"/>
      <c r="H948" s="12"/>
    </row>
    <row r="949">
      <c r="G949" s="12"/>
      <c r="H949" s="12"/>
    </row>
    <row r="950">
      <c r="G950" s="12"/>
      <c r="H950" s="12"/>
    </row>
    <row r="951">
      <c r="G951" s="12"/>
      <c r="H951" s="12"/>
    </row>
    <row r="952">
      <c r="G952" s="12"/>
      <c r="H952" s="12"/>
    </row>
    <row r="953">
      <c r="G953" s="12"/>
      <c r="H953" s="12"/>
    </row>
    <row r="954">
      <c r="G954" s="12"/>
      <c r="H954" s="12"/>
    </row>
    <row r="955">
      <c r="G955" s="12"/>
      <c r="H955" s="12"/>
    </row>
    <row r="956">
      <c r="G956" s="12"/>
      <c r="H956" s="12"/>
    </row>
    <row r="957">
      <c r="G957" s="12"/>
      <c r="H957" s="12"/>
    </row>
    <row r="958">
      <c r="G958" s="12"/>
      <c r="H958" s="12"/>
    </row>
    <row r="959">
      <c r="G959" s="12"/>
      <c r="H959" s="12"/>
    </row>
    <row r="960">
      <c r="G960" s="12"/>
      <c r="H960" s="12"/>
    </row>
    <row r="961">
      <c r="G961" s="12"/>
      <c r="H961" s="12"/>
    </row>
    <row r="962">
      <c r="G962" s="12"/>
      <c r="H962" s="12"/>
    </row>
    <row r="963">
      <c r="G963" s="12"/>
      <c r="H963" s="12"/>
    </row>
    <row r="964">
      <c r="G964" s="12"/>
      <c r="H964" s="12"/>
    </row>
    <row r="965">
      <c r="G965" s="12"/>
      <c r="H965" s="12"/>
    </row>
    <row r="966">
      <c r="G966" s="12"/>
      <c r="H966" s="12"/>
    </row>
    <row r="967">
      <c r="G967" s="12"/>
      <c r="H967" s="12"/>
    </row>
    <row r="968">
      <c r="G968" s="12"/>
      <c r="H968" s="12"/>
    </row>
    <row r="969">
      <c r="G969" s="12"/>
      <c r="H969" s="12"/>
    </row>
    <row r="970">
      <c r="G970" s="12"/>
      <c r="H970" s="12"/>
    </row>
    <row r="971">
      <c r="G971" s="12"/>
      <c r="H971" s="12"/>
    </row>
    <row r="972">
      <c r="G972" s="12"/>
      <c r="H972" s="12"/>
    </row>
    <row r="973">
      <c r="G973" s="12"/>
      <c r="H973" s="12"/>
    </row>
    <row r="974">
      <c r="G974" s="12"/>
      <c r="H974" s="12"/>
    </row>
    <row r="975">
      <c r="G975" s="12"/>
      <c r="H975" s="12"/>
    </row>
    <row r="976">
      <c r="G976" s="12"/>
      <c r="H976" s="12"/>
    </row>
    <row r="977">
      <c r="G977" s="12"/>
      <c r="H977" s="12"/>
    </row>
    <row r="978">
      <c r="G978" s="12"/>
      <c r="H978" s="12"/>
    </row>
    <row r="979">
      <c r="G979" s="12"/>
      <c r="H979" s="12"/>
    </row>
    <row r="980">
      <c r="G980" s="12"/>
      <c r="H980" s="12"/>
    </row>
    <row r="981">
      <c r="G981" s="12"/>
      <c r="H981" s="12"/>
    </row>
    <row r="982">
      <c r="G982" s="12"/>
      <c r="H982" s="12"/>
    </row>
    <row r="983">
      <c r="G983" s="12"/>
      <c r="H983" s="12"/>
    </row>
    <row r="984">
      <c r="G984" s="12"/>
      <c r="H984" s="12"/>
    </row>
    <row r="985">
      <c r="G985" s="12"/>
      <c r="H985" s="12"/>
    </row>
    <row r="986">
      <c r="G986" s="12"/>
      <c r="H986" s="12"/>
    </row>
    <row r="987">
      <c r="G987" s="12"/>
      <c r="H987" s="12"/>
    </row>
    <row r="988">
      <c r="G988" s="12"/>
      <c r="H988" s="12"/>
    </row>
    <row r="989">
      <c r="G989" s="12"/>
      <c r="H989" s="12"/>
    </row>
    <row r="990">
      <c r="G990" s="12"/>
      <c r="H990" s="12"/>
    </row>
    <row r="991">
      <c r="G991" s="12"/>
      <c r="H991" s="12"/>
    </row>
    <row r="992">
      <c r="G992" s="12"/>
      <c r="H992" s="12"/>
    </row>
    <row r="993">
      <c r="G993" s="12"/>
      <c r="H993" s="12"/>
    </row>
    <row r="994">
      <c r="G994" s="12"/>
      <c r="H994" s="12"/>
    </row>
    <row r="995">
      <c r="G995" s="12"/>
      <c r="H995" s="12"/>
    </row>
    <row r="996">
      <c r="G996" s="12"/>
      <c r="H996"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J3" s="6" t="s">
        <v>65</v>
      </c>
    </row>
    <row r="4">
      <c r="J4" s="6" t="s">
        <v>66</v>
      </c>
    </row>
    <row r="28">
      <c r="F28" s="6" t="s">
        <v>67</v>
      </c>
    </row>
    <row r="29">
      <c r="A29" s="6" t="s">
        <v>68</v>
      </c>
    </row>
    <row r="55">
      <c r="A55" s="6">
        <v>0.0</v>
      </c>
      <c r="B55" s="6">
        <v>0.0</v>
      </c>
    </row>
    <row r="56">
      <c r="A56" s="6">
        <v>279546.0</v>
      </c>
      <c r="B56" s="6">
        <v>19478.0</v>
      </c>
    </row>
    <row r="57">
      <c r="A57" s="6">
        <v>388572.0</v>
      </c>
      <c r="B57" s="6">
        <v>28481.0</v>
      </c>
    </row>
    <row r="58">
      <c r="A58" s="6">
        <v>341316.0</v>
      </c>
      <c r="B58" s="6">
        <v>23277.0</v>
      </c>
    </row>
    <row r="59">
      <c r="A59" s="6">
        <v>336085.0</v>
      </c>
      <c r="B59" s="6">
        <v>24660.0</v>
      </c>
    </row>
    <row r="61">
      <c r="A61" s="6">
        <v>413300.0</v>
      </c>
      <c r="C61" s="12">
        <f t="shared" ref="C61:C68" si="1">A61*0.0815-3433</f>
        <v>30250.95</v>
      </c>
    </row>
    <row r="62">
      <c r="A62" s="6">
        <v>393478.0</v>
      </c>
      <c r="C62" s="12">
        <f t="shared" si="1"/>
        <v>28635.457</v>
      </c>
    </row>
    <row r="63">
      <c r="A63" s="6">
        <v>444808.0</v>
      </c>
      <c r="C63" s="12">
        <f t="shared" si="1"/>
        <v>32818.852</v>
      </c>
    </row>
    <row r="64">
      <c r="A64" s="6">
        <v>366901.0</v>
      </c>
      <c r="C64" s="12">
        <f t="shared" si="1"/>
        <v>26469.4315</v>
      </c>
    </row>
    <row r="65">
      <c r="A65" s="6">
        <v>350316.0</v>
      </c>
      <c r="C65" s="12">
        <f t="shared" si="1"/>
        <v>25117.754</v>
      </c>
    </row>
    <row r="66">
      <c r="A66" s="6">
        <v>351419.0</v>
      </c>
      <c r="C66" s="12">
        <f t="shared" si="1"/>
        <v>25207.6485</v>
      </c>
    </row>
    <row r="67">
      <c r="A67" s="6">
        <v>403670.0</v>
      </c>
      <c r="C67" s="12">
        <f t="shared" si="1"/>
        <v>29466.105</v>
      </c>
    </row>
    <row r="68">
      <c r="A68" s="6">
        <v>419230.0</v>
      </c>
      <c r="C68" s="12">
        <f t="shared" si="1"/>
        <v>30734.245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 t="s">
        <v>69</v>
      </c>
      <c r="B2" s="6" t="s">
        <v>70</v>
      </c>
    </row>
    <row r="3">
      <c r="A3" s="19">
        <v>390132.0</v>
      </c>
      <c r="B3" s="19">
        <v>648369.0</v>
      </c>
    </row>
    <row r="4">
      <c r="A4" s="19">
        <v>321788.0</v>
      </c>
      <c r="B4" s="19">
        <v>541079.0</v>
      </c>
    </row>
    <row r="5">
      <c r="A5" s="19">
        <v>281906.0</v>
      </c>
      <c r="B5" s="19">
        <v>463398.0</v>
      </c>
    </row>
    <row r="6">
      <c r="A6" s="19">
        <v>311302.0</v>
      </c>
      <c r="B6" s="19">
        <v>501317.0</v>
      </c>
    </row>
    <row r="7">
      <c r="A7" s="19">
        <v>479225.0</v>
      </c>
      <c r="B7" s="19">
        <v>788780.0</v>
      </c>
    </row>
    <row r="8">
      <c r="A8" s="19">
        <v>466173.0</v>
      </c>
      <c r="B8" s="19">
        <v>734456.0</v>
      </c>
    </row>
    <row r="9">
      <c r="A9" s="19">
        <v>440384.0</v>
      </c>
      <c r="B9" s="19">
        <v>739260.0</v>
      </c>
    </row>
    <row r="10">
      <c r="A10" s="19">
        <v>472053.0</v>
      </c>
      <c r="B10" s="19">
        <v>791866.0</v>
      </c>
    </row>
    <row r="11">
      <c r="A11" s="19">
        <v>516251.0</v>
      </c>
      <c r="B11" s="19">
        <v>830428.0</v>
      </c>
    </row>
    <row r="12">
      <c r="A12" s="19">
        <v>472945.0</v>
      </c>
      <c r="B12" s="19">
        <v>736289.0</v>
      </c>
    </row>
    <row r="13">
      <c r="A13" s="19">
        <v>508733.0</v>
      </c>
      <c r="B13" s="19">
        <v>760801.0</v>
      </c>
    </row>
    <row r="14">
      <c r="A14" s="19">
        <v>541747.0</v>
      </c>
      <c r="B14" s="19">
        <v>846129.0</v>
      </c>
    </row>
    <row r="15">
      <c r="A15" s="19">
        <v>500031.0</v>
      </c>
      <c r="B15" s="19">
        <v>845049.0</v>
      </c>
    </row>
    <row r="16">
      <c r="A16" s="19">
        <v>501008.0</v>
      </c>
      <c r="B16" s="19">
        <v>826631.0</v>
      </c>
    </row>
    <row r="17">
      <c r="A17" s="19">
        <v>458694.0</v>
      </c>
      <c r="B17" s="20"/>
    </row>
    <row r="18">
      <c r="A18" s="19">
        <v>430272.0</v>
      </c>
      <c r="B18" s="19">
        <v>754404.0</v>
      </c>
    </row>
    <row r="19">
      <c r="A19" s="19">
        <v>425274.0</v>
      </c>
      <c r="B19" s="19">
        <v>735768.0</v>
      </c>
    </row>
    <row r="20">
      <c r="A20" s="19">
        <v>418505.0</v>
      </c>
      <c r="B20" s="19">
        <v>748065.0</v>
      </c>
    </row>
    <row r="21">
      <c r="A21" s="21">
        <v>370385.0</v>
      </c>
      <c r="B21" s="19">
        <v>566401.0</v>
      </c>
    </row>
    <row r="22">
      <c r="A22" s="21">
        <v>275799.0</v>
      </c>
      <c r="B22" s="19">
        <v>512856.0</v>
      </c>
    </row>
    <row r="23">
      <c r="A23" s="21">
        <v>244074.0</v>
      </c>
      <c r="B23" s="19">
        <v>424996.0</v>
      </c>
    </row>
    <row r="24">
      <c r="A24" s="21">
        <v>381810.0</v>
      </c>
      <c r="B24" s="19">
        <v>441253.0</v>
      </c>
    </row>
    <row r="25">
      <c r="A25" s="19">
        <v>341377.0</v>
      </c>
      <c r="B25" s="19">
        <v>552638.0</v>
      </c>
    </row>
    <row r="26">
      <c r="A26" s="21">
        <v>388572.0</v>
      </c>
      <c r="B26" s="19">
        <v>605800.0</v>
      </c>
    </row>
    <row r="27">
      <c r="A27" s="21">
        <v>279546.0</v>
      </c>
      <c r="B27" s="19">
        <v>517217.0</v>
      </c>
    </row>
  </sheetData>
  <drawing r:id="rId2"/>
  <legacyDrawing r:id="rId3"/>
</worksheet>
</file>