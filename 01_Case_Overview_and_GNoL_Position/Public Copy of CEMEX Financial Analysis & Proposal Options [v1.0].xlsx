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NPVs &amp; Pro-Formas" sheetId="2" r:id="rId6"/>
    <sheet state="visible" name="Proposal Matrix" sheetId="3" r:id="rId7"/>
    <sheet state="visible" name="Water Right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5">
      <text>
        <t xml:space="preserve">Starting Oct 1, 2022
</t>
      </text>
    </comment>
  </commentList>
</comments>
</file>

<file path=xl/sharedStrings.xml><?xml version="1.0" encoding="utf-8"?>
<sst xmlns="http://schemas.openxmlformats.org/spreadsheetml/2006/main" count="427" uniqueCount="269">
  <si>
    <t>Please contact Bart Lorang (lorangb@gmail.com or 303.717.0414) to discuss this model and walk through it.</t>
  </si>
  <si>
    <t>Instructions</t>
  </si>
  <si>
    <t>-Cells in Yellow are Assumptions, where feasible, sources are noted</t>
  </si>
  <si>
    <t>*Net Present Value is calculated based on CEMEX's WACC from their public financials.  This is how public company finance departments (partiuclarly mining organizations) evaluate projects</t>
  </si>
  <si>
    <t>*Proposal Matrix sheet Stacks up the Town of Lyons Proposal vs. current options on the table</t>
  </si>
  <si>
    <t>Disclaimers</t>
  </si>
  <si>
    <t>* This is an outside-in financial pro-forma based on a wide range of assumptions.</t>
  </si>
  <si>
    <t>* If there's a bug in a formula, or something needs to be cleaned up, please don't hesitate to make it happen</t>
  </si>
  <si>
    <t>* Everything isn't perfect, this is all "v0.1"</t>
  </si>
  <si>
    <t xml:space="preserve"> * Water Rights information if highly speculative at best, and is sourced from a 1977 Mining Reclamation Plan document detailing CEMEX's water rights south of HWY 66</t>
  </si>
  <si>
    <t>Summary - Value to Shareholders for CEMEX</t>
  </si>
  <si>
    <t>Net Present Value</t>
  </si>
  <si>
    <t>CEMEX's Preference</t>
  </si>
  <si>
    <t>Key Assumptions</t>
  </si>
  <si>
    <t>Capital Costs</t>
  </si>
  <si>
    <t>Discount Rate (WACC) for CEMEX</t>
  </si>
  <si>
    <t>&lt;-- from https://finbox.com/NYSE:CX/explorer/wacc</t>
  </si>
  <si>
    <t>Reclamation &amp; Cleanup Costs</t>
  </si>
  <si>
    <t>Dowe Flats Reclamation Costs</t>
  </si>
  <si>
    <t>&lt;-- from surety bonds (https://drms.colorado.gov/search-by-county)</t>
  </si>
  <si>
    <t>Cement Mine/Plant Reclamation Costs ("Lyons Quarry")</t>
  </si>
  <si>
    <t>&lt;-- surety bonds (https://drms.colorado.gov/search-by-county)</t>
  </si>
  <si>
    <t>CEMEX Sandstone Quarry Reclamation Costs</t>
  </si>
  <si>
    <t>CEMEX Plant Demolition Costs (Additional above and beyond 20 year old estimates)</t>
  </si>
  <si>
    <t>&lt;-- need to estimate what it would cost to safely tear it down and haul it away</t>
  </si>
  <si>
    <t>Production &amp; Raw Materials Assumptions</t>
  </si>
  <si>
    <t>Tons of Limestone Trucked In Per Year (from Unknown Location)</t>
  </si>
  <si>
    <t>&lt;~ according to applicants (confusing) testimony, this is happening already at 300,0i00 (assume 250K limestone and 50K shale?)</t>
  </si>
  <si>
    <t>Tons of Limestone Dowe Flats Produces Per Year</t>
  </si>
  <si>
    <t>&lt; -- assumption based on CEMEX (confusing) testimony</t>
  </si>
  <si>
    <t>Tons of Shale Dowe Flats Produces Per Year</t>
  </si>
  <si>
    <t>&lt;--400,000 per year according to CEMEX (although CEMEX SU-22-003 application had &lt;300,000 per year) Applicant Testified at 350,000 - 450,000</t>
  </si>
  <si>
    <t>Tons of Silica Hauled from Silica Quarry</t>
  </si>
  <si>
    <t>&lt;-- from CEMEX Application SU-22-003</t>
  </si>
  <si>
    <t>Ratio of Raw Material (Limestone, Shale) for 1 Ton of Cement</t>
  </si>
  <si>
    <t>&lt;-- from research  of typical ratios</t>
  </si>
  <si>
    <t>Implied Tons of Cement Per Year (based on Limestone+Silica+Shale)</t>
  </si>
  <si>
    <r>
      <rPr/>
      <t xml:space="preserve">&lt;-- calculation/estimate - other data from </t>
    </r>
    <r>
      <rPr>
        <color rgb="FF1155CC"/>
        <u/>
      </rPr>
      <t>https://www.sec.gov/Archives/edgar/data/1076378/000119312522133730/0001193125-22-133730-index.html</t>
    </r>
    <r>
      <rPr/>
      <t xml:space="preserve"> indicates 338,475 in 2021</t>
    </r>
  </si>
  <si>
    <t>Total Raw Material Tonnage (Limestone, Shale and Silica)</t>
  </si>
  <si>
    <t>&lt;-- calculation (Applicant said 700,000 to 750,000 tons)</t>
  </si>
  <si>
    <t>Pricing Assumptions</t>
  </si>
  <si>
    <t>Cement Price (2022)</t>
  </si>
  <si>
    <t>&lt;-- from research - https://www.ibisworld.com/us/bed/price-of-cement/190/ - need to validate with price quote from CEMEX Lyons</t>
  </si>
  <si>
    <t>Annual Price Increase (Cement + Transportation)</t>
  </si>
  <si>
    <t>&lt;-- Estimated Price Escalator Rate (Inflation, which is currently at 8.5% in May 2022)</t>
  </si>
  <si>
    <t>Net Operating Margin</t>
  </si>
  <si>
    <t xml:space="preserve"> &lt;--based on CEMEX USA SEC public filings, although CEMEX Lyons could be higher/lower</t>
  </si>
  <si>
    <t>Transporation/Shipping Costs</t>
  </si>
  <si>
    <t>Miles for Shipment (from Southern Wyoming)</t>
  </si>
  <si>
    <t>&lt;-- estimated distance driven in miles</t>
  </si>
  <si>
    <t>Cost Per Ton-Mile (2022)</t>
  </si>
  <si>
    <r>
      <rPr/>
      <t xml:space="preserve">&lt;-- </t>
    </r>
    <r>
      <rPr>
        <color rgb="FF1155CC"/>
        <u/>
      </rPr>
      <t>https://www.bts.gov/content/average-freight-revenue-ton-mile</t>
    </r>
  </si>
  <si>
    <t>http://cemexclaytonquarry.com/#s_2</t>
  </si>
  <si>
    <t>Cost for 80 ton, 18-wheeler, round-trip of 75 tons of raw material to and from location</t>
  </si>
  <si>
    <t>&lt;-- calculation</t>
  </si>
  <si>
    <t>Increased Cost Per Ton of Raw Materials from 3rd party</t>
  </si>
  <si>
    <t>&lt;-- based on simply 35% gross profit margin on Limestone or Silica, @ $40/ton</t>
  </si>
  <si>
    <t>Effective Price Increase Per Ton based on Transportation/Shipping</t>
  </si>
  <si>
    <t>&lt;-- computed</t>
  </si>
  <si>
    <t>Relative Price Increase Per Ton based on Transporation/Shipping</t>
  </si>
  <si>
    <t>Real Estate Transaction Assumptions</t>
  </si>
  <si>
    <t>Boulder County's Price - CEMEX Land Surrounding Plant Price Per Acre</t>
  </si>
  <si>
    <t>&lt;--based on CEMEX proposal to Boulder County in 2022, escalating 2% per year</t>
  </si>
  <si>
    <t>Boulder County's Price - CEMEX Plant Site, Price Per Acre (60 Acres)</t>
  </si>
  <si>
    <t xml:space="preserve"> &lt;-- Estimate (what is fair market value per acre for General Industrial land - $250,000/acre)</t>
  </si>
  <si>
    <t>Boulder County's Price - Dowe Flats (208 Acre Plot) Value Per Acre</t>
  </si>
  <si>
    <t>Boulder County's Price - Land Apprecation Rate</t>
  </si>
  <si>
    <t>&lt;-- what seems to be negotiated by Boulder County transactions</t>
  </si>
  <si>
    <t>Boulder County's Price - Conservation Easement Price Per Acre</t>
  </si>
  <si>
    <t>Fair Market Value - CEMEX Surrounding Plant Price Per Acre (830 Acres unencumbered)</t>
  </si>
  <si>
    <t xml:space="preserve"> &lt;-- Estimate (what is fair market value per acre that is NOT incumbered with a Conservation Easement)</t>
  </si>
  <si>
    <t>Fair Market Value - CEMEX Plant Site Land (60 Acres w/ Structures Included, zoned General Industrial)</t>
  </si>
  <si>
    <t>Fair Market Value - CEMEX Surrounding Plant Price Per Acre (830 Acres w/ 75% Conservation Easement)</t>
  </si>
  <si>
    <t xml:space="preserve"> &lt;-- Estimate (what is fair market value per acre that is incumbered with a Conservation Easement</t>
  </si>
  <si>
    <t>Fair Market Value - CEMEX Dowe Flats (208 Acre Plot) Price Per Acre</t>
  </si>
  <si>
    <t xml:space="preserve"> &lt;-- Estimate (what is fair market value per acre)</t>
  </si>
  <si>
    <t>Fair Market Value - Land Appreciation Rate</t>
  </si>
  <si>
    <t xml:space="preserve"> &lt;-- Average Annual FMV Increase</t>
  </si>
  <si>
    <t>Water Rights Transaction Assumptions</t>
  </si>
  <si>
    <t>CEMEX Water Rights (# of Acre Feet Owned)</t>
  </si>
  <si>
    <t>&lt;-- Estimate based on relative ownership % of Smead Ditch and others need to find this out)</t>
  </si>
  <si>
    <t>CEMEX Price Per Acre Foot</t>
  </si>
  <si>
    <t>&lt;-- Estimate based on commentary from water broker (CB-T water transacts for $75,000 per Acre Foot)</t>
  </si>
  <si>
    <t>CEMEX Estimated Value of Water Rights (2022)</t>
  </si>
  <si>
    <t>&lt;--computed</t>
  </si>
  <si>
    <t>Water Rights Appreciation Per Year</t>
  </si>
  <si>
    <t>Option A - Stop Mining, Operate "Plant Indefinitely"</t>
  </si>
  <si>
    <t>Do Nothing; Dowe Flats Shuts Down, Cement Plant Operates "Indefinitely"</t>
  </si>
  <si>
    <t xml:space="preserve">  - CEMEX also could sell additional 208 acres of Dowe Flats in this transaction if they wish at FMV</t>
  </si>
  <si>
    <t>Period</t>
  </si>
  <si>
    <t>Year</t>
  </si>
  <si>
    <t>PV Times Factor</t>
  </si>
  <si>
    <t>Investing/Real Estate Related Cash Flows</t>
  </si>
  <si>
    <t>Dowe Flats - 766 Acres - Operations &amp; Development Parcel Sale to Boulder County (existing agreement)</t>
  </si>
  <si>
    <t>Dowe Flats - 208 Acres - Sell @ FMV in 2025 to highest bidder</t>
  </si>
  <si>
    <t>Dowe Flats - Reclamation Costs (spread over 24 months)</t>
  </si>
  <si>
    <t>Silica Quarry - Reclamation Costs (spread over 24 months)</t>
  </si>
  <si>
    <t>Lease Payments to Boulder County</t>
  </si>
  <si>
    <t>Total Investing/Real Estate Related Cash Flows</t>
  </si>
  <si>
    <t>Operating Cash Flow</t>
  </si>
  <si>
    <t xml:space="preserve">  Tons Per Year of Cement Produced</t>
  </si>
  <si>
    <t xml:space="preserve">  Avg Cement Selling Price</t>
  </si>
  <si>
    <t xml:space="preserve">  Total Operating Cash Flows</t>
  </si>
  <si>
    <t xml:space="preserve"> EBITDA Margin (before Transport and 3rd Party Purchase Costs)</t>
  </si>
  <si>
    <t xml:space="preserve">    Net Cash Flow</t>
  </si>
  <si>
    <t>Adjustments - Shipment + 3rd Party Cash Flows</t>
  </si>
  <si>
    <t xml:space="preserve">   Tons of Raw Materials Shipped/Imported vs Base Case</t>
  </si>
  <si>
    <t xml:space="preserve">   Per Ton Price Increase. </t>
  </si>
  <si>
    <t xml:space="preserve">   Increased Price Paid Per Ton (3rd Party)</t>
  </si>
  <si>
    <t xml:space="preserve">   Shipping Cost Per Ton-Mile</t>
  </si>
  <si>
    <t xml:space="preserve"> Additional Shipping Cost for Trucking In Raw Materials</t>
  </si>
  <si>
    <t>Adjusted Net Cash Flow</t>
  </si>
  <si>
    <t>PV Cash Flow</t>
  </si>
  <si>
    <t>NPV</t>
  </si>
  <si>
    <t>Boulder County Spends</t>
  </si>
  <si>
    <t>Option B - Operate 15 Years, then Shut Down, Sell to BoCo</t>
  </si>
  <si>
    <t>Proposal Dowe Flats Extended 15 Years, Plant Shuts Down in 15 years, followed by reclamation; Sell Land Surroudning Plant to Boulder County; Sell Plant to Someone Else</t>
  </si>
  <si>
    <t>Investing/Real Estate Cash Flows</t>
  </si>
  <si>
    <t xml:space="preserve"> Dowe Flats - Rental Payments to Boulder County</t>
  </si>
  <si>
    <t xml:space="preserve"> Sale of Plant Parcel in 2041 to Boulder County (830 Acres)</t>
  </si>
  <si>
    <t xml:space="preserve"> Sale of Plant in 2041 @ FMV</t>
  </si>
  <si>
    <t xml:space="preserve"> Sale of ALL CEMEX Water Rights</t>
  </si>
  <si>
    <t>Reclamation Costs</t>
  </si>
  <si>
    <t xml:space="preserve"> Reclamation Costs (Dowe Flats) - from 2038 to 2040</t>
  </si>
  <si>
    <t xml:space="preserve"> Reclamation Costs (Plant Land, but NOT Plant from 2038 to 2040</t>
  </si>
  <si>
    <t xml:space="preserve"> Reclamation Costs (Silica Quarry - in 2023 and 2024</t>
  </si>
  <si>
    <t>Total Real Estate Cash Flows</t>
  </si>
  <si>
    <t xml:space="preserve">  Tons Per Year of Cement Produced and Sold</t>
  </si>
  <si>
    <t xml:space="preserve">  Avg Cement Price</t>
  </si>
  <si>
    <t xml:space="preserve">  Total Revenue</t>
  </si>
  <si>
    <t xml:space="preserve"> EBITDA Margin</t>
  </si>
  <si>
    <t>Option C - Operate 5 Years, Land Conserved, Purchase Options to Boulder/Lyons</t>
  </si>
  <si>
    <t xml:space="preserve"> Dowe Flats + CEMEX Area Rental Payments to Boulder County until 2027, followed by $1k during reclamation</t>
  </si>
  <si>
    <t xml:space="preserve"> Sale of Dowe Flats - 766 acres -  to Boulder County for $0 additional</t>
  </si>
  <si>
    <t xml:space="preserve"> Sale of Dowe Flats - 208 Acres - to Boulder County for $0</t>
  </si>
  <si>
    <t xml:space="preserve"> Sale of Parcel Surrounding Plant - 510 Acres - to Boulder County as Open Space</t>
  </si>
  <si>
    <t xml:space="preserve"> Exercise of Purchase Options on Balance of Land - 360 Acres - to Town of Lyons</t>
  </si>
  <si>
    <t xml:space="preserve"> Exercise of Purchase Options on Plant Site (GI Zoned) - 60 Acres - to Town of Lyons</t>
  </si>
  <si>
    <t>Reclamation &amp; Shut Down Costs</t>
  </si>
  <si>
    <t xml:space="preserve"> Reclamation Costs (Dowe Flats) - from 2028 to 2030</t>
  </si>
  <si>
    <t xml:space="preserve"> Reclamation Costs (Plant Land, but NOT Plant from 2028 to 2030</t>
  </si>
  <si>
    <t xml:space="preserve"> Demolition Costs of Plant</t>
  </si>
  <si>
    <t xml:space="preserve"> Reclamation Costs (Silica Quarry over 2 Years )</t>
  </si>
  <si>
    <t xml:space="preserve"> Misc Corporate Wind Down Costs</t>
  </si>
  <si>
    <t xml:space="preserve"> Misc Corporate Asset Sales</t>
  </si>
  <si>
    <t>Total Cash Flows</t>
  </si>
  <si>
    <t>Boulder County Spend</t>
  </si>
  <si>
    <t>Option D - Stop Mining If Permit Denied, Sell Off All Assets</t>
  </si>
  <si>
    <t>Dow Flats Shuts Down in 2022, CEMEX Shuts Down and Sale of All Assets and Real Estate at FMV</t>
  </si>
  <si>
    <t>Dowe Flats - 766 Acres - Dev &amp; Operations Parcel Sale to Boulder County (existing agreement)</t>
  </si>
  <si>
    <t>Dowe Flats - 208 Acres -  Sell to Boulder County (likely buyer given it's surrounded by BoCo Space</t>
  </si>
  <si>
    <t>CEMEX Surrounding Plant Parcel - 830 Acres = Sell @ FMV</t>
  </si>
  <si>
    <t>CEMEX Plant Land Sale - 60 Acres</t>
  </si>
  <si>
    <t>CEMEX Divestiture of All Water Rights Sale</t>
  </si>
  <si>
    <t>Dowe Flats - Reclamation Costs</t>
  </si>
  <si>
    <t>CEMEX Mine - Reclamation Costs</t>
  </si>
  <si>
    <t>CEMEX Plant - Demolition Costs</t>
  </si>
  <si>
    <t>Silica Quarry - Reclamation Costs</t>
  </si>
  <si>
    <t>Misc Corporate Wind Down Costs</t>
  </si>
  <si>
    <t>Misc Corporate Asset Sales</t>
  </si>
  <si>
    <t>Key Deal Terms &amp; Benefits</t>
  </si>
  <si>
    <t>Option A
Status Quo 
 "Possibly Indefinite"</t>
  </si>
  <si>
    <t>Option B
CEMEX Proposal
"15 Years More Mining"</t>
  </si>
  <si>
    <t xml:space="preserve">Option C
Town of Lyons Proposal
"5 Years More Mining"
</t>
  </si>
  <si>
    <t>Option D (CEMEX's BATNA)
CEMEX Stops Production, Sells Assets to Highest Bidder</t>
  </si>
  <si>
    <t>CEMEX Gets:</t>
  </si>
  <si>
    <t xml:space="preserve"> - Dowe Flats Mining Extension</t>
  </si>
  <si>
    <t>0 Years</t>
  </si>
  <si>
    <t>15 Years</t>
  </si>
  <si>
    <t>5 Years</t>
  </si>
  <si>
    <t xml:space="preserve"> - Continued Plant Operation</t>
  </si>
  <si>
    <t>Permitted Indefinitely</t>
  </si>
  <si>
    <t xml:space="preserve"> - Estimated Net Present Value for CEMEX (e.g. Value for Shareholders)</t>
  </si>
  <si>
    <t xml:space="preserve"> - Profitable &amp; Sustainable Ongoing Operation</t>
  </si>
  <si>
    <t>No</t>
  </si>
  <si>
    <t>Yes</t>
  </si>
  <si>
    <r>
      <rPr>
        <rFont val="Arial"/>
        <b/>
        <color theme="1"/>
      </rPr>
      <t xml:space="preserve"> - NEW:</t>
    </r>
    <r>
      <rPr>
        <rFont val="Arial"/>
        <color theme="1"/>
      </rPr>
      <t xml:space="preserve"> Graceful Exit and Wind Down from Boulder County</t>
    </r>
  </si>
  <si>
    <t>CEMEX Gives:</t>
  </si>
  <si>
    <t xml:space="preserve"> - Purchase Options @ $17,000/acre on Land Surrounding Plant (830 Acres)</t>
  </si>
  <si>
    <t>Yes - to Boulder County</t>
  </si>
  <si>
    <t>Yes - to Boulder (~60%), Lyons (~40%)</t>
  </si>
  <si>
    <r>
      <rPr>
        <rFont val="Arial"/>
        <color theme="1"/>
      </rPr>
      <t xml:space="preserve"> - </t>
    </r>
    <r>
      <rPr>
        <rFont val="Arial"/>
        <b/>
        <color theme="1"/>
      </rPr>
      <t xml:space="preserve">NEW: </t>
    </r>
    <r>
      <rPr>
        <rFont val="Arial"/>
        <color theme="1"/>
      </rPr>
      <t>Purchase Options @ $17,000/acre on remaining CEMEX Area incl Plant (~100 Acres)</t>
    </r>
  </si>
  <si>
    <t>Yes - to Lyons</t>
  </si>
  <si>
    <r>
      <rPr>
        <rFont val="Arial"/>
        <color theme="1"/>
      </rPr>
      <t xml:space="preserve"> - </t>
    </r>
    <r>
      <rPr>
        <rFont val="Arial"/>
        <b/>
        <color theme="1"/>
      </rPr>
      <t>NEW:</t>
    </r>
    <r>
      <rPr>
        <rFont val="Arial"/>
        <color theme="1"/>
      </rPr>
      <t xml:space="preserve"> Updated IGA for Land Use (Covenant / Conservation Easement) on CEMEX Area (930 Acres)</t>
    </r>
  </si>
  <si>
    <t>Yes - w/ Boulder County &amp; Lyons</t>
  </si>
  <si>
    <r>
      <rPr>
        <rFont val="Arial"/>
        <color theme="1"/>
      </rPr>
      <t xml:space="preserve"> - </t>
    </r>
    <r>
      <rPr>
        <rFont val="Arial"/>
        <b/>
        <color theme="1"/>
      </rPr>
      <t xml:space="preserve">NEW: </t>
    </r>
    <r>
      <rPr>
        <rFont val="Arial"/>
        <color theme="1"/>
      </rPr>
      <t>Commitment to Close Plant</t>
    </r>
  </si>
  <si>
    <t>Yes - by 2037</t>
  </si>
  <si>
    <t>Yes - by 2027</t>
  </si>
  <si>
    <r>
      <rPr>
        <rFont val="Arial"/>
        <color theme="1"/>
      </rPr>
      <t xml:space="preserve"> - </t>
    </r>
    <r>
      <rPr>
        <rFont val="Arial"/>
        <b/>
        <color theme="1"/>
      </rPr>
      <t xml:space="preserve">NEW: </t>
    </r>
    <r>
      <rPr>
        <rFont val="Arial"/>
        <color theme="1"/>
      </rPr>
      <t>Demolish Plant and Perform Cleanup/Reclamation</t>
    </r>
  </si>
  <si>
    <t>Indeterminate</t>
  </si>
  <si>
    <t>by 2030</t>
  </si>
  <si>
    <t xml:space="preserve"> - Reclaim Dowe Flats</t>
  </si>
  <si>
    <t>by 2025</t>
  </si>
  <si>
    <t>by 2041</t>
  </si>
  <si>
    <t xml:space="preserve"> - Reclaim Land surrounding Plant</t>
  </si>
  <si>
    <t xml:space="preserve"> - Provide Trail Easement for St Vrain Greenway</t>
  </si>
  <si>
    <r>
      <rPr>
        <rFont val="Arial"/>
        <color theme="1"/>
      </rPr>
      <t xml:space="preserve"> - </t>
    </r>
    <r>
      <rPr>
        <rFont val="Arial"/>
        <b/>
        <color theme="1"/>
      </rPr>
      <t xml:space="preserve">NEW: </t>
    </r>
    <r>
      <rPr>
        <rFont val="Arial"/>
        <color theme="1"/>
      </rPr>
      <t>Commitment best attempts to sequester C02 Emissions</t>
    </r>
  </si>
  <si>
    <r>
      <rPr>
        <rFont val="Arial"/>
        <color theme="1"/>
      </rPr>
      <t xml:space="preserve"> - </t>
    </r>
    <r>
      <rPr>
        <rFont val="Arial"/>
        <b/>
        <color theme="1"/>
      </rPr>
      <t xml:space="preserve">NEW: </t>
    </r>
    <r>
      <rPr>
        <rFont val="Arial"/>
        <color theme="1"/>
      </rPr>
      <t>Commitment best attempts to mitigate ongoing Noise, Light &amp; Dust pollution</t>
    </r>
  </si>
  <si>
    <r>
      <rPr>
        <rFont val="Arial"/>
        <color theme="1"/>
      </rPr>
      <t xml:space="preserve"> - </t>
    </r>
    <r>
      <rPr>
        <rFont val="Arial"/>
        <b/>
        <color theme="1"/>
      </rPr>
      <t xml:space="preserve">NEW: </t>
    </r>
    <r>
      <rPr>
        <rFont val="Arial"/>
        <color theme="1"/>
      </rPr>
      <t>Lyons and/or Boulder County Right of First Refusal on Any Water Rights Sales</t>
    </r>
  </si>
  <si>
    <t>Boulder County Gets:</t>
  </si>
  <si>
    <r>
      <rPr>
        <rFont val="Arial"/>
        <color theme="1"/>
      </rPr>
      <t xml:space="preserve">  </t>
    </r>
    <r>
      <rPr>
        <rFont val="Arial"/>
        <b/>
        <color theme="1"/>
      </rPr>
      <t xml:space="preserve">-NEW: </t>
    </r>
    <r>
      <rPr>
        <rFont val="Arial"/>
        <color theme="1"/>
      </rPr>
      <t>Climate Goals: Annual Reduction of C02 by 2030</t>
    </r>
  </si>
  <si>
    <t>357,000 Tons/Yr (12.5% of 2030 Goal)</t>
  </si>
  <si>
    <t>350,000 Tons (12.5% of 2030 Goal)</t>
  </si>
  <si>
    <t xml:space="preserve"> - Addtl Acres of Protected Open Space and/or Conserved Land</t>
  </si>
  <si>
    <t xml:space="preserve">      - Addtl Acres of Open Space</t>
  </si>
  <si>
    <r>
      <rPr>
        <rFont val="Arial"/>
        <color theme="1"/>
      </rPr>
      <t xml:space="preserve">      - </t>
    </r>
    <r>
      <rPr>
        <rFont val="Arial"/>
        <b/>
        <color theme="1"/>
      </rPr>
      <t xml:space="preserve">NEW: </t>
    </r>
    <r>
      <rPr>
        <rFont val="Arial"/>
        <color theme="1"/>
      </rPr>
      <t>Addtl Acres governed by Covenenant / Conservation Easement (75% minimum CE)</t>
    </r>
  </si>
  <si>
    <t xml:space="preserve"> - Total Amount Spent</t>
  </si>
  <si>
    <r>
      <rPr>
        <rFont val="Arial"/>
        <color theme="1"/>
      </rPr>
      <t xml:space="preserve"> - </t>
    </r>
    <r>
      <rPr>
        <rFont val="Arial"/>
        <b/>
        <color theme="1"/>
      </rPr>
      <t xml:space="preserve">NEW: </t>
    </r>
    <r>
      <rPr>
        <rFont val="Arial"/>
        <color theme="1"/>
      </rPr>
      <t>Updated IGA for Land Use  (Covenant / Conservation Easement) on entire CEMEX Area (930 Acres)</t>
    </r>
  </si>
  <si>
    <t>No - 830 Acres</t>
  </si>
  <si>
    <t>Yes - 930 Acres</t>
  </si>
  <si>
    <t xml:space="preserve"> - Purchase Options to acquire  ~510 Acres Open Space @ $17,000 / acre</t>
  </si>
  <si>
    <t>Yes - 830 Acres</t>
  </si>
  <si>
    <t>Yes - 510 Acres</t>
  </si>
  <si>
    <r>
      <rPr>
        <rFont val="Arial"/>
        <color theme="1"/>
      </rPr>
      <t xml:space="preserve"> - </t>
    </r>
    <r>
      <rPr>
        <rFont val="Arial"/>
        <b/>
        <color theme="1"/>
      </rPr>
      <t xml:space="preserve">NEW: </t>
    </r>
    <r>
      <rPr>
        <rFont val="Arial"/>
        <color theme="1"/>
      </rPr>
      <t>Purchase Options to acquire ~420 Acres CEMEX Area after 2035 if not Exercised/Annexed by Lyons</t>
    </r>
  </si>
  <si>
    <t xml:space="preserve"> - Cement Plant Closes (*)</t>
  </si>
  <si>
    <t>Yes (2037)</t>
  </si>
  <si>
    <t>Yes (2027)</t>
  </si>
  <si>
    <r>
      <rPr>
        <rFont val="Arial"/>
        <color theme="1"/>
      </rPr>
      <t xml:space="preserve"> - </t>
    </r>
    <r>
      <rPr>
        <rFont val="Arial"/>
        <b/>
        <color theme="1"/>
      </rPr>
      <t xml:space="preserve">NEW: </t>
    </r>
    <r>
      <rPr>
        <rFont val="Arial"/>
        <color theme="1"/>
      </rPr>
      <t>Cessation of General Industrial Activity at CEMEX Plant Site and Zoning Change</t>
    </r>
  </si>
  <si>
    <t>Yes (2030)</t>
  </si>
  <si>
    <r>
      <rPr>
        <rFont val="Arial"/>
        <color theme="1"/>
      </rPr>
      <t xml:space="preserve"> - </t>
    </r>
    <r>
      <rPr>
        <rFont val="Arial"/>
        <b/>
        <color theme="1"/>
      </rPr>
      <t>NEW</t>
    </r>
    <r>
      <rPr>
        <rFont val="Arial"/>
        <color theme="1"/>
      </rPr>
      <t>: Plant Demolished and Plant Site Cleaned Up</t>
    </r>
  </si>
  <si>
    <r>
      <rPr>
        <rFont val="Arial"/>
        <color theme="1"/>
      </rPr>
      <t xml:space="preserve"> - </t>
    </r>
    <r>
      <rPr>
        <rFont val="Arial"/>
        <b/>
        <color theme="1"/>
      </rPr>
      <t>NEW</t>
    </r>
    <r>
      <rPr>
        <rFont val="Arial"/>
        <color theme="1"/>
      </rPr>
      <t xml:space="preserve">: Improved Beauty of St. Vrain Valley / "Gateway to the Rockies"  </t>
    </r>
  </si>
  <si>
    <t xml:space="preserve"> - Trail Easement for St Vrain Greenway</t>
  </si>
  <si>
    <t xml:space="preserve"> - Access Easement to Boulder County property</t>
  </si>
  <si>
    <r>
      <rPr>
        <rFont val="Arial"/>
        <color theme="1"/>
      </rPr>
      <t xml:space="preserve"> - </t>
    </r>
    <r>
      <rPr>
        <rFont val="Arial"/>
        <b/>
        <color theme="1"/>
      </rPr>
      <t xml:space="preserve">NEW </t>
    </r>
    <r>
      <rPr>
        <rFont val="Arial"/>
        <color theme="1"/>
      </rPr>
      <t xml:space="preserve">Credit/Accolades for Transforming a Brown Field Into a Best-In-Class Eco Community </t>
    </r>
  </si>
  <si>
    <t>Town of Lyons Gets</t>
  </si>
  <si>
    <r>
      <rPr>
        <rFont val="Arial"/>
        <color theme="1"/>
      </rPr>
      <t xml:space="preserve">  - </t>
    </r>
    <r>
      <rPr>
        <rFont val="Arial"/>
        <b/>
        <color theme="1"/>
      </rPr>
      <t xml:space="preserve">NEW: </t>
    </r>
    <r>
      <rPr>
        <rFont val="Arial"/>
        <color theme="1"/>
      </rPr>
      <t>Updated IGA for Land Use  (Covenant / Conservation Easement) on entire CEMEX Area (930 Acres)</t>
    </r>
  </si>
  <si>
    <t xml:space="preserve">  - Options to Develop portion of CEMEX Area for Low-Density Sustainable Mixed-Use (spirit of 2012 IGA)</t>
  </si>
  <si>
    <t xml:space="preserve">  - Options to Develop Municipal Facility for 100% Renewable Energy (spirit of 2012 IGA)</t>
  </si>
  <si>
    <r>
      <rPr>
        <rFont val="Arial"/>
        <color theme="1"/>
      </rPr>
      <t xml:space="preserve">  - </t>
    </r>
    <r>
      <rPr>
        <rFont val="Arial"/>
        <b/>
        <color theme="1"/>
      </rPr>
      <t xml:space="preserve">NEW: </t>
    </r>
    <r>
      <rPr>
        <rFont val="Arial"/>
        <color theme="1"/>
      </rPr>
      <t>Purchase Options &amp; 5yr window to Annex/Solicit Plans for ~420 Acres CEMEX Area (2030 to 2035) @ $17,000 per acre</t>
    </r>
  </si>
  <si>
    <r>
      <rPr>
        <rFont val="Arial"/>
        <color theme="1"/>
      </rPr>
      <t xml:space="preserve">  - </t>
    </r>
    <r>
      <rPr>
        <rFont val="Arial"/>
        <b/>
        <color theme="1"/>
      </rPr>
      <t xml:space="preserve">NEW: </t>
    </r>
    <r>
      <rPr>
        <rFont val="Arial"/>
        <color theme="1"/>
      </rPr>
      <t>Ability to engage/sollicit Sustainable Investment Community for Bids/Proposals</t>
    </r>
  </si>
  <si>
    <t xml:space="preserve">  - Boulder County assistance/cooperation with Sustainable Development Proposals for CEMEX Area (from 2012 IGA)</t>
  </si>
  <si>
    <r>
      <rPr>
        <rFont val="Arial"/>
        <color theme="1"/>
      </rPr>
      <t xml:space="preserve">  - </t>
    </r>
    <r>
      <rPr>
        <rFont val="Arial"/>
        <b/>
        <color theme="1"/>
      </rPr>
      <t xml:space="preserve">NEW: </t>
    </r>
    <r>
      <rPr>
        <rFont val="Arial"/>
        <color theme="1"/>
      </rPr>
      <t>Potential Increase in Town Tax Revenue Base</t>
    </r>
  </si>
  <si>
    <r>
      <rPr>
        <rFont val="Arial"/>
        <color theme="1"/>
      </rPr>
      <t xml:space="preserve">  - </t>
    </r>
    <r>
      <rPr>
        <rFont val="Arial"/>
        <b/>
        <color theme="1"/>
      </rPr>
      <t xml:space="preserve">NEW: </t>
    </r>
    <r>
      <rPr>
        <rFont val="Arial"/>
        <color theme="1"/>
      </rPr>
      <t>Viable &amp; Sustainable Eastern Corridor</t>
    </r>
  </si>
  <si>
    <r>
      <rPr>
        <rFont val="Arial"/>
        <color theme="1"/>
      </rPr>
      <t xml:space="preserve">  -</t>
    </r>
    <r>
      <rPr>
        <rFont val="Arial"/>
        <b/>
        <color theme="1"/>
      </rPr>
      <t xml:space="preserve"> NEW: </t>
    </r>
    <r>
      <rPr>
        <rFont val="Arial"/>
        <color theme="1"/>
      </rPr>
      <t>Cessation of General Industrial Activity at CEMEX Plant Site</t>
    </r>
  </si>
  <si>
    <t>For Community:</t>
  </si>
  <si>
    <r>
      <rPr>
        <rFont val="Arial"/>
        <color theme="1"/>
      </rPr>
      <t xml:space="preserve">  - </t>
    </r>
    <r>
      <rPr>
        <rFont val="Arial"/>
        <b/>
        <color theme="1"/>
      </rPr>
      <t xml:space="preserve">NEW: </t>
    </r>
    <r>
      <rPr>
        <rFont val="Arial"/>
        <color theme="1"/>
      </rPr>
      <t>Plant Goes Away, Forever.</t>
    </r>
  </si>
  <si>
    <r>
      <rPr>
        <rFont val="Arial"/>
        <color theme="1"/>
      </rPr>
      <t xml:space="preserve">  - </t>
    </r>
    <r>
      <rPr>
        <rFont val="Arial"/>
        <b/>
        <color theme="1"/>
      </rPr>
      <t xml:space="preserve">NEW: </t>
    </r>
    <r>
      <rPr>
        <rFont val="Arial"/>
        <color theme="1"/>
      </rPr>
      <t>Climate Goals: Annual Reduction of C02 by 2030</t>
    </r>
  </si>
  <si>
    <r>
      <rPr>
        <rFont val="Arial"/>
        <color theme="1"/>
      </rPr>
      <t xml:space="preserve">  - </t>
    </r>
    <r>
      <rPr>
        <rFont val="Arial"/>
        <b/>
        <color theme="1"/>
      </rPr>
      <t xml:space="preserve">NEW: </t>
    </r>
    <r>
      <rPr>
        <rFont val="Arial"/>
        <color theme="1"/>
      </rPr>
      <t>Reduced Noise, Light &amp; Dust Pollution</t>
    </r>
  </si>
  <si>
    <t xml:space="preserve">  - Beautiful Walking/Biking Trails through the St. Vrain Greenway</t>
  </si>
  <si>
    <t xml:space="preserve">  - Dowe Flats 1600 Acres as Open Space</t>
  </si>
  <si>
    <t>Yes - 2025</t>
  </si>
  <si>
    <t>Yes - 2040</t>
  </si>
  <si>
    <t>Yes - 2030</t>
  </si>
  <si>
    <r>
      <rPr>
        <rFont val="Arial"/>
        <color theme="1"/>
      </rPr>
      <t xml:space="preserve">  - </t>
    </r>
    <r>
      <rPr>
        <rFont val="Arial"/>
        <b/>
        <color theme="1"/>
      </rPr>
      <t>NEW</t>
    </r>
    <r>
      <rPr>
        <rFont val="Arial"/>
        <color theme="1"/>
      </rPr>
      <t>: Entirety of CEMEX Plant Land (930 Acres) becomes Protected/Conserved</t>
    </r>
  </si>
  <si>
    <r>
      <rPr>
        <rFont val="Arial"/>
        <color theme="1"/>
      </rPr>
      <t xml:space="preserve">  - </t>
    </r>
    <r>
      <rPr>
        <rFont val="Arial"/>
        <b/>
        <color theme="1"/>
      </rPr>
      <t xml:space="preserve">NEW: </t>
    </r>
    <r>
      <rPr>
        <rFont val="Arial"/>
        <color theme="1"/>
      </rPr>
      <t>Pedistrian Bridge connecting Dowe Flats to CEMEX Plant Land</t>
    </r>
  </si>
  <si>
    <t xml:space="preserve">  - Ongoing $40K/year donations/gifts from CEMEX</t>
  </si>
  <si>
    <t>1 cfs =</t>
  </si>
  <si>
    <t>acre-feet per day</t>
  </si>
  <si>
    <t>Source:  1977 Lyons Plant Reclamation Plan - Permit M77208</t>
  </si>
  <si>
    <t>unit</t>
  </si>
  <si>
    <t>days a year available</t>
  </si>
  <si>
    <t>acre-feet/yr equivalent</t>
  </si>
  <si>
    <t>acre-foot pricing / market</t>
  </si>
  <si>
    <t>value</t>
  </si>
  <si>
    <t>1. Outlet ditch and outlet pipeline</t>
  </si>
  <si>
    <t>cfs</t>
  </si>
  <si>
    <t>2. Martin Marietta east seepage ditch</t>
  </si>
  <si>
    <t>3. Martin Marietta tile drain</t>
  </si>
  <si>
    <t>4. Martin Marietta cement lake</t>
  </si>
  <si>
    <t xml:space="preserve"> *(stoarage and recreational)(=</t>
  </si>
  <si>
    <t>acre-feet</t>
  </si>
  <si>
    <t>5. Kimball Lake</t>
  </si>
  <si>
    <t>6. Smead Ditch</t>
  </si>
  <si>
    <t>7. Swede Ditch</t>
  </si>
  <si>
    <t>8. South Ledge</t>
  </si>
  <si>
    <t>9. Big Thompson water</t>
  </si>
  <si>
    <t>10. Dowe Flats Water (1993 Permit)</t>
  </si>
  <si>
    <t>gallons-day</t>
  </si>
  <si>
    <t>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</si>
</sst>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"/>
    <numFmt numFmtId="165" formatCode="&quot;$&quot;#,##0.00"/>
    <numFmt numFmtId="166" formatCode="0.0%"/>
    <numFmt numFmtId="167" formatCode="&quot;$&quot;#,##0.0"/>
    <numFmt numFmtId="168" formatCode="0.000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/>
    <font>
      <sz val="10.0"/>
      <color theme="1"/>
      <name val="Arial"/>
      <scheme val="minor"/>
    </font>
    <font>
      <u/>
      <color rgb="FF1155CC"/>
    </font>
    <font>
      <sz val="10.0"/>
      <color theme="1"/>
      <name val="Arial"/>
    </font>
    <font>
      <color theme="1"/>
      <name val="Arial"/>
    </font>
    <font>
      <u/>
      <color rgb="FF0000FF"/>
    </font>
    <font>
      <u/>
      <color rgb="FF0000FF"/>
    </font>
    <font>
      <sz val="10.0"/>
      <color rgb="FF000000"/>
      <name val="Arial"/>
    </font>
    <font>
      <b/>
      <color theme="1"/>
      <name val="Arial"/>
    </font>
    <font>
      <b/>
      <sz val="12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Font="1"/>
    <xf borderId="0" fillId="0" fontId="3" numFmtId="0" xfId="0" applyAlignment="1" applyFont="1">
      <alignment readingOrder="0"/>
    </xf>
    <xf borderId="1" fillId="3" fontId="1" numFmtId="0" xfId="0" applyAlignment="1" applyBorder="1" applyFill="1" applyFont="1">
      <alignment readingOrder="0"/>
    </xf>
    <xf borderId="1" fillId="3" fontId="1" numFmtId="0" xfId="0" applyAlignment="1" applyBorder="1" applyFont="1">
      <alignment horizontal="right" readingOrder="0"/>
    </xf>
    <xf borderId="0" fillId="4" fontId="1" numFmtId="0" xfId="0" applyAlignment="1" applyFill="1" applyFont="1">
      <alignment readingOrder="0"/>
    </xf>
    <xf borderId="1" fillId="4" fontId="1" numFmtId="0" xfId="0" applyAlignment="1" applyBorder="1" applyFont="1">
      <alignment readingOrder="0"/>
    </xf>
    <xf borderId="1" fillId="0" fontId="1" numFmtId="164" xfId="0" applyBorder="1" applyFont="1" applyNumberFormat="1"/>
    <xf borderId="1" fillId="5" fontId="1" numFmtId="0" xfId="0" applyAlignment="1" applyBorder="1" applyFill="1" applyFont="1">
      <alignment horizontal="center" readingOrder="0"/>
    </xf>
    <xf borderId="0" fillId="4" fontId="3" numFmtId="0" xfId="0" applyFont="1"/>
    <xf borderId="2" fillId="3" fontId="1" numFmtId="0" xfId="0" applyAlignment="1" applyBorder="1" applyFont="1">
      <alignment readingOrder="0"/>
    </xf>
    <xf borderId="3" fillId="0" fontId="4" numFmtId="0" xfId="0" applyBorder="1" applyFont="1"/>
    <xf borderId="1" fillId="3" fontId="3" numFmtId="0" xfId="0" applyBorder="1" applyFont="1"/>
    <xf borderId="1" fillId="0" fontId="3" numFmtId="0" xfId="0" applyAlignment="1" applyBorder="1" applyFont="1">
      <alignment readingOrder="0"/>
    </xf>
    <xf borderId="1" fillId="2" fontId="5" numFmtId="10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0" fillId="4" fontId="5" numFmtId="164" xfId="0" applyAlignment="1" applyFont="1" applyNumberFormat="1">
      <alignment readingOrder="0"/>
    </xf>
    <xf borderId="1" fillId="3" fontId="5" numFmtId="164" xfId="0" applyAlignment="1" applyBorder="1" applyFont="1" applyNumberFormat="1">
      <alignment readingOrder="0"/>
    </xf>
    <xf borderId="1" fillId="2" fontId="5" numFmtId="164" xfId="0" applyAlignment="1" applyBorder="1" applyFont="1" applyNumberFormat="1">
      <alignment readingOrder="0"/>
    </xf>
    <xf borderId="1" fillId="2" fontId="7" numFmtId="164" xfId="0" applyAlignment="1" applyBorder="1" applyFont="1" applyNumberFormat="1">
      <alignment horizontal="right" readingOrder="0" vertical="top"/>
    </xf>
    <xf borderId="1" fillId="2" fontId="8" numFmtId="164" xfId="0" applyAlignment="1" applyBorder="1" applyFont="1" applyNumberFormat="1">
      <alignment readingOrder="0"/>
    </xf>
    <xf borderId="0" fillId="0" fontId="8" numFmtId="3" xfId="0" applyFont="1" applyNumberFormat="1"/>
    <xf borderId="1" fillId="3" fontId="8" numFmtId="3" xfId="0" applyBorder="1" applyFont="1" applyNumberFormat="1"/>
    <xf borderId="1" fillId="2" fontId="8" numFmtId="3" xfId="0" applyAlignment="1" applyBorder="1" applyFont="1" applyNumberFormat="1">
      <alignment readingOrder="0"/>
    </xf>
    <xf borderId="1" fillId="0" fontId="8" numFmtId="3" xfId="0" applyAlignment="1" applyBorder="1" applyFont="1" applyNumberFormat="1">
      <alignment readingOrder="0"/>
    </xf>
    <xf borderId="1" fillId="0" fontId="3" numFmtId="3" xfId="0" applyAlignment="1" applyBorder="1" applyFont="1" applyNumberFormat="1">
      <alignment readingOrder="0"/>
    </xf>
    <xf borderId="1" fillId="2" fontId="3" numFmtId="0" xfId="0" applyAlignment="1" applyBorder="1" applyFont="1">
      <alignment readingOrder="0"/>
    </xf>
    <xf borderId="1" fillId="2" fontId="3" numFmtId="3" xfId="0" applyAlignment="1" applyBorder="1" applyFont="1" applyNumberFormat="1">
      <alignment readingOrder="0"/>
    </xf>
    <xf borderId="0" fillId="0" fontId="9" numFmtId="0" xfId="0" applyAlignment="1" applyFont="1">
      <alignment readingOrder="0"/>
    </xf>
    <xf borderId="0" fillId="4" fontId="5" numFmtId="165" xfId="0" applyAlignment="1" applyFont="1" applyNumberFormat="1">
      <alignment readingOrder="0"/>
    </xf>
    <xf borderId="1" fillId="6" fontId="1" numFmtId="0" xfId="0" applyAlignment="1" applyBorder="1" applyFill="1" applyFont="1">
      <alignment readingOrder="0"/>
    </xf>
    <xf borderId="1" fillId="6" fontId="5" numFmtId="165" xfId="0" applyAlignment="1" applyBorder="1" applyFont="1" applyNumberFormat="1">
      <alignment readingOrder="0"/>
    </xf>
    <xf borderId="1" fillId="2" fontId="5" numFmtId="165" xfId="0" applyAlignment="1" applyBorder="1" applyFont="1" applyNumberFormat="1">
      <alignment readingOrder="0"/>
    </xf>
    <xf borderId="1" fillId="2" fontId="3" numFmtId="10" xfId="0" applyAlignment="1" applyBorder="1" applyFont="1" applyNumberFormat="1">
      <alignment readingOrder="0"/>
    </xf>
    <xf borderId="1" fillId="2" fontId="3" numFmtId="166" xfId="0" applyAlignment="1" applyBorder="1" applyFont="1" applyNumberFormat="1">
      <alignment readingOrder="0"/>
    </xf>
    <xf borderId="1" fillId="6" fontId="3" numFmtId="0" xfId="0" applyAlignment="1" applyBorder="1" applyFont="1">
      <alignment readingOrder="0"/>
    </xf>
    <xf borderId="1" fillId="2" fontId="3" numFmtId="165" xfId="0" applyAlignment="1" applyBorder="1" applyFont="1" applyNumberFormat="1">
      <alignment readingOrder="0"/>
    </xf>
    <xf borderId="0" fillId="0" fontId="10" numFmtId="0" xfId="0" applyAlignment="1" applyFont="1">
      <alignment readingOrder="0"/>
    </xf>
    <xf borderId="1" fillId="0" fontId="3" numFmtId="165" xfId="0" applyBorder="1" applyFont="1" applyNumberFormat="1"/>
    <xf borderId="0" fillId="0" fontId="3" numFmtId="0" xfId="0" applyAlignment="1" applyFont="1">
      <alignment readingOrder="0"/>
    </xf>
    <xf borderId="1" fillId="4" fontId="3" numFmtId="165" xfId="0" applyAlignment="1" applyBorder="1" applyFont="1" applyNumberFormat="1">
      <alignment readingOrder="0"/>
    </xf>
    <xf borderId="1" fillId="4" fontId="3" numFmtId="166" xfId="0" applyAlignment="1" applyBorder="1" applyFont="1" applyNumberFormat="1">
      <alignment readingOrder="0"/>
    </xf>
    <xf borderId="0" fillId="4" fontId="3" numFmtId="166" xfId="0" applyAlignment="1" applyFont="1" applyNumberFormat="1">
      <alignment readingOrder="0"/>
    </xf>
    <xf borderId="1" fillId="3" fontId="3" numFmtId="166" xfId="0" applyAlignment="1" applyBorder="1" applyFont="1" applyNumberFormat="1">
      <alignment readingOrder="0"/>
    </xf>
    <xf borderId="1" fillId="2" fontId="3" numFmtId="164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4" fontId="3" numFmtId="164" xfId="0" applyAlignment="1" applyBorder="1" applyFont="1" applyNumberFormat="1">
      <alignment readingOrder="0"/>
    </xf>
    <xf borderId="0" fillId="4" fontId="3" numFmtId="0" xfId="0" applyAlignment="1" applyFont="1">
      <alignment readingOrder="0"/>
    </xf>
    <xf borderId="1" fillId="3" fontId="3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3" numFmtId="0" xfId="0" applyBorder="1" applyFont="1"/>
    <xf borderId="1" fillId="0" fontId="3" numFmtId="2" xfId="0" applyBorder="1" applyFont="1" applyNumberFormat="1"/>
    <xf borderId="0" fillId="0" fontId="5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11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164" xfId="0" applyFont="1" applyNumberFormat="1"/>
    <xf borderId="0" fillId="0" fontId="3" numFmtId="167" xfId="0" applyFont="1" applyNumberFormat="1"/>
    <xf borderId="0" fillId="0" fontId="3" numFmtId="3" xfId="0" applyFont="1" applyNumberFormat="1"/>
    <xf borderId="0" fillId="0" fontId="3" numFmtId="165" xfId="0" applyFont="1" applyNumberFormat="1"/>
    <xf borderId="0" fillId="0" fontId="1" numFmtId="164" xfId="0" applyFont="1" applyNumberFormat="1"/>
    <xf borderId="0" fillId="0" fontId="3" numFmtId="166" xfId="0" applyFont="1" applyNumberFormat="1"/>
    <xf borderId="0" fillId="0" fontId="3" numFmtId="165" xfId="0" applyFont="1" applyNumberFormat="1"/>
    <xf borderId="0" fillId="0" fontId="1" numFmtId="164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7" fontId="1" numFmtId="0" xfId="0" applyAlignment="1" applyFill="1" applyFont="1">
      <alignment readingOrder="0"/>
    </xf>
    <xf borderId="0" fillId="7" fontId="3" numFmtId="164" xfId="0" applyFont="1" applyNumberFormat="1"/>
    <xf borderId="0" fillId="0" fontId="1" numFmtId="0" xfId="0" applyFont="1"/>
    <xf borderId="0" fillId="0" fontId="3" numFmtId="0" xfId="0" applyFont="1"/>
    <xf borderId="0" fillId="0" fontId="3" numFmtId="2" xfId="0" applyFont="1" applyNumberFormat="1"/>
    <xf borderId="0" fillId="0" fontId="8" numFmtId="0" xfId="0" applyAlignment="1" applyFont="1">
      <alignment vertical="bottom"/>
    </xf>
    <xf borderId="0" fillId="0" fontId="5" numFmtId="0" xfId="0" applyFont="1"/>
    <xf borderId="1" fillId="7" fontId="1" numFmtId="0" xfId="0" applyAlignment="1" applyBorder="1" applyFont="1">
      <alignment readingOrder="0"/>
    </xf>
    <xf borderId="1" fillId="7" fontId="3" numFmtId="164" xfId="0" applyBorder="1" applyFont="1" applyNumberFormat="1"/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vertical="bottom"/>
    </xf>
    <xf borderId="1" fillId="3" fontId="12" numFmtId="0" xfId="0" applyAlignment="1" applyBorder="1" applyFont="1">
      <alignment readingOrder="0" vertical="bottom"/>
    </xf>
    <xf borderId="1" fillId="0" fontId="12" numFmtId="164" xfId="0" applyAlignment="1" applyBorder="1" applyFont="1" applyNumberFormat="1">
      <alignment vertical="bottom"/>
    </xf>
    <xf borderId="0" fillId="0" fontId="12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0" fontId="8" numFmtId="2" xfId="0" applyAlignment="1" applyFont="1" applyNumberFormat="1">
      <alignment horizontal="right" vertical="bottom"/>
    </xf>
    <xf borderId="0" fillId="0" fontId="8" numFmtId="0" xfId="0" applyAlignment="1" applyFont="1">
      <alignment readingOrder="0" vertical="bottom"/>
    </xf>
    <xf borderId="0" fillId="0" fontId="8" numFmtId="164" xfId="0" applyAlignment="1" applyFont="1" applyNumberFormat="1">
      <alignment readingOrder="0" vertical="bottom"/>
    </xf>
    <xf borderId="0" fillId="0" fontId="8" numFmtId="164" xfId="0" applyAlignment="1" applyFont="1" applyNumberFormat="1">
      <alignment horizontal="right" readingOrder="0" vertical="bottom"/>
    </xf>
    <xf borderId="0" fillId="0" fontId="8" numFmtId="164" xfId="0" applyAlignment="1" applyFont="1" applyNumberFormat="1">
      <alignment horizontal="right" vertical="bottom"/>
    </xf>
    <xf borderId="0" fillId="0" fontId="8" numFmtId="165" xfId="0" applyAlignment="1" applyFont="1" applyNumberFormat="1">
      <alignment horizontal="right" vertical="bottom"/>
    </xf>
    <xf borderId="0" fillId="0" fontId="8" numFmtId="164" xfId="0" applyAlignment="1" applyFont="1" applyNumberFormat="1">
      <alignment vertical="bottom"/>
    </xf>
    <xf borderId="0" fillId="0" fontId="8" numFmtId="165" xfId="0" applyAlignment="1" applyFont="1" applyNumberFormat="1">
      <alignment vertical="bottom"/>
    </xf>
    <xf borderId="0" fillId="2" fontId="8" numFmtId="164" xfId="0" applyAlignment="1" applyFont="1" applyNumberFormat="1">
      <alignment horizontal="right" vertical="bottom"/>
    </xf>
    <xf borderId="0" fillId="0" fontId="8" numFmtId="3" xfId="0" applyAlignment="1" applyFont="1" applyNumberFormat="1">
      <alignment horizontal="right" vertical="bottom"/>
    </xf>
    <xf borderId="0" fillId="0" fontId="8" numFmtId="166" xfId="0" applyAlignment="1" applyFont="1" applyNumberFormat="1">
      <alignment horizontal="right" vertical="bottom"/>
    </xf>
    <xf borderId="0" fillId="0" fontId="8" numFmtId="167" xfId="0" applyAlignment="1" applyFont="1" applyNumberFormat="1">
      <alignment horizontal="right" vertical="bottom"/>
    </xf>
    <xf borderId="1" fillId="7" fontId="12" numFmtId="0" xfId="0" applyAlignment="1" applyBorder="1" applyFont="1">
      <alignment vertical="bottom"/>
    </xf>
    <xf borderId="1" fillId="7" fontId="12" numFmtId="164" xfId="0" applyAlignment="1" applyBorder="1" applyFont="1" applyNumberFormat="1">
      <alignment horizontal="right" vertical="bottom"/>
    </xf>
    <xf borderId="0" fillId="2" fontId="3" numFmtId="164" xfId="0" applyAlignment="1" applyFont="1" applyNumberFormat="1">
      <alignment readingOrder="0"/>
    </xf>
    <xf borderId="1" fillId="3" fontId="2" numFmtId="0" xfId="0" applyAlignment="1" applyBorder="1" applyFont="1">
      <alignment readingOrder="0" vertical="center"/>
    </xf>
    <xf borderId="1" fillId="3" fontId="1" numFmtId="0" xfId="0" applyAlignment="1" applyBorder="1" applyFont="1">
      <alignment horizontal="center" readingOrder="0" shrinkToFit="0" vertical="top" wrapText="1"/>
    </xf>
    <xf borderId="1" fillId="6" fontId="1" numFmtId="0" xfId="0" applyAlignment="1" applyBorder="1" applyFont="1">
      <alignment horizontal="center" readingOrder="0" shrinkToFit="0" vertical="top" wrapText="1"/>
    </xf>
    <xf borderId="1" fillId="8" fontId="3" numFmtId="0" xfId="0" applyAlignment="1" applyBorder="1" applyFill="1" applyFont="1">
      <alignment horizontal="center" readingOrder="0"/>
    </xf>
    <xf borderId="1" fillId="9" fontId="3" numFmtId="0" xfId="0" applyAlignment="1" applyBorder="1" applyFill="1" applyFont="1">
      <alignment horizontal="center" readingOrder="0"/>
    </xf>
    <xf borderId="0" fillId="0" fontId="8" numFmtId="0" xfId="0" applyAlignment="1" applyFont="1">
      <alignment vertical="bottom"/>
    </xf>
    <xf borderId="1" fillId="8" fontId="8" numFmtId="164" xfId="0" applyAlignment="1" applyBorder="1" applyFont="1" applyNumberFormat="1">
      <alignment horizontal="center" vertical="bottom"/>
    </xf>
    <xf borderId="1" fillId="9" fontId="8" numFmtId="164" xfId="0" applyAlignment="1" applyBorder="1" applyFont="1" applyNumberFormat="1">
      <alignment horizontal="center" vertical="bottom"/>
    </xf>
    <xf borderId="0" fillId="9" fontId="8" numFmtId="164" xfId="0" applyAlignment="1" applyFont="1" applyNumberFormat="1">
      <alignment horizontal="center" vertical="bottom"/>
    </xf>
    <xf borderId="1" fillId="8" fontId="8" numFmtId="0" xfId="0" applyAlignment="1" applyBorder="1" applyFont="1">
      <alignment horizontal="center" vertical="bottom"/>
    </xf>
    <xf borderId="1" fillId="9" fontId="8" numFmtId="0" xfId="0" applyAlignment="1" applyBorder="1" applyFont="1">
      <alignment horizontal="center" vertical="bottom"/>
    </xf>
    <xf borderId="0" fillId="8" fontId="8" numFmtId="0" xfId="0" applyAlignment="1" applyFont="1">
      <alignment horizontal="center" vertical="bottom"/>
    </xf>
    <xf borderId="0" fillId="0" fontId="3" numFmtId="0" xfId="0" applyAlignment="1" applyFont="1">
      <alignment horizontal="left" readingOrder="0"/>
    </xf>
    <xf borderId="1" fillId="9" fontId="3" numFmtId="3" xfId="0" applyAlignment="1" applyBorder="1" applyFont="1" applyNumberFormat="1">
      <alignment horizontal="center" readingOrder="0"/>
    </xf>
    <xf borderId="1" fillId="8" fontId="1" numFmtId="0" xfId="0" applyAlignment="1" applyBorder="1" applyFont="1">
      <alignment horizontal="center" readingOrder="0"/>
    </xf>
    <xf borderId="1" fillId="9" fontId="1" numFmtId="0" xfId="0" applyAlignment="1" applyBorder="1" applyFont="1">
      <alignment horizontal="center" readingOrder="0"/>
    </xf>
    <xf borderId="1" fillId="9" fontId="3" numFmtId="0" xfId="0" applyAlignment="1" applyBorder="1" applyFont="1">
      <alignment horizontal="center"/>
    </xf>
    <xf borderId="1" fillId="8" fontId="1" numFmtId="164" xfId="0" applyAlignment="1" applyBorder="1" applyFont="1" applyNumberFormat="1">
      <alignment horizontal="center" readingOrder="0"/>
    </xf>
    <xf borderId="1" fillId="9" fontId="1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4" fillId="0" fontId="8" numFmtId="0" xfId="0" applyAlignment="1" applyBorder="1" applyFont="1">
      <alignment readingOrder="0" vertical="bottom"/>
    </xf>
    <xf borderId="3" fillId="8" fontId="8" numFmtId="0" xfId="0" applyAlignment="1" applyBorder="1" applyFont="1">
      <alignment horizontal="center" vertical="bottom"/>
    </xf>
    <xf borderId="3" fillId="9" fontId="8" numFmtId="0" xfId="0" applyAlignment="1" applyBorder="1" applyFont="1">
      <alignment horizontal="center" vertical="bottom"/>
    </xf>
    <xf borderId="3" fillId="8" fontId="8" numFmtId="0" xfId="0" applyAlignment="1" applyBorder="1" applyFont="1">
      <alignment horizontal="center" vertical="bottom"/>
    </xf>
    <xf borderId="0" fillId="0" fontId="13" numFmtId="0" xfId="0" applyAlignment="1" applyFont="1">
      <alignment readingOrder="0" vertical="bottom"/>
    </xf>
    <xf borderId="3" fillId="0" fontId="8" numFmtId="0" xfId="0" applyAlignment="1" applyBorder="1" applyFont="1">
      <alignment vertical="bottom"/>
    </xf>
    <xf borderId="1" fillId="8" fontId="8" numFmtId="164" xfId="0" applyAlignment="1" applyBorder="1" applyFont="1" applyNumberFormat="1">
      <alignment horizontal="center" readingOrder="0" vertical="bottom"/>
    </xf>
    <xf borderId="5" fillId="8" fontId="8" numFmtId="0" xfId="0" applyAlignment="1" applyBorder="1" applyFont="1">
      <alignment horizontal="center" vertical="bottom"/>
    </xf>
    <xf borderId="1" fillId="8" fontId="8" numFmtId="0" xfId="0" applyAlignment="1" applyBorder="1" applyFont="1">
      <alignment horizontal="center" readingOrder="0" vertical="bottom"/>
    </xf>
    <xf borderId="1" fillId="9" fontId="8" numFmtId="0" xfId="0" applyAlignment="1" applyBorder="1" applyFont="1">
      <alignment horizontal="center" readingOrder="0" vertical="bottom"/>
    </xf>
    <xf borderId="5" fillId="8" fontId="8" numFmtId="0" xfId="0" applyAlignment="1" applyBorder="1" applyFont="1">
      <alignment horizontal="center" readingOrder="0" vertical="bottom"/>
    </xf>
    <xf borderId="5" fillId="9" fontId="8" numFmtId="0" xfId="0" applyAlignment="1" applyBorder="1" applyFont="1">
      <alignment horizontal="center" vertical="bottom"/>
    </xf>
    <xf borderId="0" fillId="0" fontId="1" numFmtId="168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3" numFmtId="1" xfId="0" applyFont="1" applyNumberFormat="1"/>
    <xf borderId="0" fillId="0" fontId="3" numFmtId="1" xfId="0" applyAlignment="1" applyFont="1" applyNumberFormat="1">
      <alignment readingOrder="0"/>
    </xf>
    <xf borderId="0" fillId="0" fontId="3" numFmtId="9" xfId="0" applyAlignment="1" applyFont="1" applyNumberFormat="1">
      <alignment readingOrder="0"/>
    </xf>
    <xf borderId="0" fillId="0" fontId="1" numFmtId="3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finbox.com/NYSE:CX/explorer/wacc" TargetMode="External"/><Relationship Id="rId3" Type="http://schemas.openxmlformats.org/officeDocument/2006/relationships/hyperlink" Target="https://drms.colorado.gov/search-by-county)" TargetMode="External"/><Relationship Id="rId4" Type="http://schemas.openxmlformats.org/officeDocument/2006/relationships/hyperlink" Target="https://www.sec.gov/Archives/edgar/data/1076378/000119312522133730/0001193125-22-133730-index.html" TargetMode="External"/><Relationship Id="rId5" Type="http://schemas.openxmlformats.org/officeDocument/2006/relationships/hyperlink" Target="https://www.bts.gov/content/average-freight-revenue-ton-mile" TargetMode="External"/><Relationship Id="rId6" Type="http://schemas.openxmlformats.org/officeDocument/2006/relationships/hyperlink" Target="http://cemexclaytonquarry.com/" TargetMode="External"/><Relationship Id="rId7" Type="http://schemas.openxmlformats.org/officeDocument/2006/relationships/drawing" Target="../drawings/drawing2.xml"/><Relationship Id="rId8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</row>
    <row r="5">
      <c r="B5" s="2" t="s">
        <v>1</v>
      </c>
    </row>
    <row r="6">
      <c r="B6" s="3" t="s">
        <v>2</v>
      </c>
      <c r="C6" s="4"/>
      <c r="D6" s="4"/>
      <c r="E6" s="4"/>
    </row>
    <row r="7">
      <c r="B7" s="5" t="s">
        <v>3</v>
      </c>
    </row>
    <row r="8">
      <c r="B8" s="5" t="s">
        <v>4</v>
      </c>
    </row>
    <row r="10">
      <c r="B10" s="2" t="s">
        <v>5</v>
      </c>
    </row>
    <row r="11">
      <c r="B11" s="5" t="s">
        <v>6</v>
      </c>
    </row>
    <row r="12">
      <c r="B12" s="5" t="s">
        <v>7</v>
      </c>
    </row>
    <row r="13">
      <c r="B13" s="5" t="s">
        <v>8</v>
      </c>
    </row>
    <row r="14">
      <c r="B14" s="5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2" max="2" width="86.75"/>
    <col customWidth="1" min="3" max="3" width="17.13"/>
    <col customWidth="1" min="4" max="4" width="20.25"/>
    <col customWidth="1" min="8" max="8" width="13.38"/>
    <col customWidth="1" min="11" max="11" width="10.5"/>
  </cols>
  <sheetData>
    <row r="1">
      <c r="B1" s="1"/>
      <c r="H1" s="1"/>
      <c r="I1" s="1"/>
      <c r="J1" s="1"/>
      <c r="K1" s="1"/>
      <c r="L1" s="1"/>
    </row>
    <row r="2">
      <c r="B2" s="6" t="s">
        <v>10</v>
      </c>
      <c r="C2" s="7" t="s">
        <v>11</v>
      </c>
      <c r="D2" s="6" t="s">
        <v>12</v>
      </c>
      <c r="E2" s="8"/>
      <c r="F2" s="8"/>
      <c r="H2" s="1"/>
      <c r="I2" s="1"/>
      <c r="J2" s="1"/>
      <c r="K2" s="1"/>
      <c r="L2" s="1"/>
    </row>
    <row r="3">
      <c r="B3" s="9" t="str">
        <f>B60</f>
        <v>Option A - Stop Mining, Operate "Plant Indefinitely"</v>
      </c>
      <c r="C3" s="10">
        <f>C94</f>
        <v>-3237342.526</v>
      </c>
      <c r="D3" s="11">
        <v>4.0</v>
      </c>
      <c r="E3" s="8"/>
      <c r="F3" s="12"/>
      <c r="H3" s="1"/>
      <c r="I3" s="1"/>
      <c r="J3" s="1"/>
      <c r="K3" s="1"/>
      <c r="L3" s="1"/>
    </row>
    <row r="4">
      <c r="B4" s="9" t="str">
        <f>B100</f>
        <v>Option B - Operate 15 Years, then Shut Down, Sell to BoCo</v>
      </c>
      <c r="C4" s="10">
        <f>C131</f>
        <v>64432187.15</v>
      </c>
      <c r="D4" s="11">
        <v>1.0</v>
      </c>
      <c r="E4" s="8"/>
      <c r="F4" s="12"/>
    </row>
    <row r="5">
      <c r="B5" s="9" t="str">
        <f>B135</f>
        <v>Option C - Operate 5 Years, Land Conserved, Purchase Options to Boulder/Lyons</v>
      </c>
      <c r="C5" s="10">
        <f>C174</f>
        <v>40720123.78</v>
      </c>
      <c r="D5" s="11">
        <v>2.0</v>
      </c>
      <c r="E5" s="8"/>
      <c r="F5" s="12"/>
    </row>
    <row r="6">
      <c r="B6" s="9" t="str">
        <f t="shared" ref="B6:C6" si="1">B178</f>
        <v>Option D - Stop Mining If Permit Denied, Sell Off All Assets</v>
      </c>
      <c r="C6" s="10">
        <f t="shared" si="1"/>
        <v>23291772.54</v>
      </c>
      <c r="D6" s="11">
        <v>3.0</v>
      </c>
      <c r="E6" s="8"/>
      <c r="F6" s="12"/>
    </row>
    <row r="7">
      <c r="B7" s="1"/>
    </row>
    <row r="8">
      <c r="B8" s="13" t="s">
        <v>13</v>
      </c>
      <c r="C8" s="14"/>
      <c r="D8" s="12"/>
      <c r="E8" s="12"/>
      <c r="F8" s="12"/>
    </row>
    <row r="9">
      <c r="B9" s="1"/>
    </row>
    <row r="10">
      <c r="B10" s="6" t="s">
        <v>14</v>
      </c>
      <c r="C10" s="15"/>
    </row>
    <row r="11" outlineLevel="1">
      <c r="B11" s="16" t="s">
        <v>15</v>
      </c>
      <c r="C11" s="17">
        <v>0.145</v>
      </c>
      <c r="D11" s="18" t="s">
        <v>16</v>
      </c>
    </row>
    <row r="12">
      <c r="B12" s="5"/>
      <c r="C12" s="19"/>
      <c r="D12" s="5"/>
    </row>
    <row r="13">
      <c r="B13" s="6" t="s">
        <v>17</v>
      </c>
      <c r="C13" s="20"/>
      <c r="D13" s="5"/>
    </row>
    <row r="14" outlineLevel="1">
      <c r="B14" s="16" t="s">
        <v>18</v>
      </c>
      <c r="C14" s="21">
        <v>-1.2683299E7</v>
      </c>
      <c r="D14" s="18" t="s">
        <v>19</v>
      </c>
    </row>
    <row r="15" outlineLevel="1">
      <c r="B15" s="16" t="s">
        <v>20</v>
      </c>
      <c r="C15" s="21">
        <v>-8953127.0</v>
      </c>
      <c r="D15" s="5" t="s">
        <v>21</v>
      </c>
    </row>
    <row r="16" outlineLevel="1">
      <c r="B16" s="16" t="s">
        <v>22</v>
      </c>
      <c r="C16" s="22">
        <v>-409366.0</v>
      </c>
      <c r="D16" s="5" t="s">
        <v>19</v>
      </c>
    </row>
    <row r="17" outlineLevel="1">
      <c r="B17" s="16" t="s">
        <v>23</v>
      </c>
      <c r="C17" s="23">
        <v>-1.5E7</v>
      </c>
      <c r="D17" s="5" t="s">
        <v>24</v>
      </c>
    </row>
    <row r="18">
      <c r="B18" s="5"/>
      <c r="C18" s="24"/>
      <c r="D18" s="5"/>
    </row>
    <row r="19">
      <c r="B19" s="6" t="s">
        <v>25</v>
      </c>
      <c r="C19" s="25"/>
      <c r="D19" s="5"/>
    </row>
    <row r="20" outlineLevel="1">
      <c r="B20" s="16" t="s">
        <v>26</v>
      </c>
      <c r="C20" s="26">
        <v>250000.0</v>
      </c>
      <c r="D20" s="5" t="s">
        <v>27</v>
      </c>
    </row>
    <row r="21" outlineLevel="1">
      <c r="B21" s="16" t="s">
        <v>28</v>
      </c>
      <c r="C21" s="26">
        <v>50000.0</v>
      </c>
      <c r="D21" s="5" t="s">
        <v>29</v>
      </c>
    </row>
    <row r="22" outlineLevel="1">
      <c r="B22" s="16" t="s">
        <v>30</v>
      </c>
      <c r="C22" s="27">
        <v>350000.0</v>
      </c>
      <c r="D22" s="5" t="s">
        <v>31</v>
      </c>
    </row>
    <row r="23" outlineLevel="1">
      <c r="B23" s="16" t="s">
        <v>32</v>
      </c>
      <c r="C23" s="28">
        <v>35000.0</v>
      </c>
      <c r="D23" s="5" t="s">
        <v>33</v>
      </c>
    </row>
    <row r="24" outlineLevel="1">
      <c r="B24" s="16" t="s">
        <v>34</v>
      </c>
      <c r="C24" s="29">
        <v>1.7</v>
      </c>
      <c r="D24" s="5" t="s">
        <v>35</v>
      </c>
    </row>
    <row r="25" outlineLevel="1">
      <c r="B25" s="16" t="s">
        <v>36</v>
      </c>
      <c r="C25" s="30">
        <v>338475.0</v>
      </c>
      <c r="D25" s="31" t="s">
        <v>37</v>
      </c>
    </row>
    <row r="26" outlineLevel="1">
      <c r="B26" s="16" t="s">
        <v>38</v>
      </c>
      <c r="C26" s="28">
        <f>C20+C22+C23+C21</f>
        <v>685000</v>
      </c>
      <c r="D26" s="5" t="s">
        <v>39</v>
      </c>
    </row>
    <row r="27">
      <c r="B27" s="5"/>
      <c r="C27" s="32"/>
      <c r="D27" s="5"/>
    </row>
    <row r="28">
      <c r="B28" s="33" t="s">
        <v>40</v>
      </c>
      <c r="C28" s="34"/>
      <c r="D28" s="5"/>
    </row>
    <row r="29" outlineLevel="1">
      <c r="B29" s="16" t="s">
        <v>41</v>
      </c>
      <c r="C29" s="35">
        <v>134.0</v>
      </c>
      <c r="D29" s="5" t="s">
        <v>42</v>
      </c>
    </row>
    <row r="30" outlineLevel="1">
      <c r="B30" s="16" t="s">
        <v>43</v>
      </c>
      <c r="C30" s="36">
        <v>0.035</v>
      </c>
      <c r="D30" s="5" t="s">
        <v>44</v>
      </c>
    </row>
    <row r="31" outlineLevel="1">
      <c r="B31" s="16" t="s">
        <v>45</v>
      </c>
      <c r="C31" s="37">
        <v>0.19</v>
      </c>
      <c r="D31" s="5" t="s">
        <v>46</v>
      </c>
    </row>
    <row r="32">
      <c r="B32" s="5"/>
      <c r="C32" s="5"/>
    </row>
    <row r="33">
      <c r="B33" s="33" t="s">
        <v>47</v>
      </c>
      <c r="C33" s="38"/>
    </row>
    <row r="34" outlineLevel="1">
      <c r="B34" s="16" t="s">
        <v>48</v>
      </c>
      <c r="C34" s="29">
        <v>60.0</v>
      </c>
      <c r="D34" s="5" t="s">
        <v>49</v>
      </c>
    </row>
    <row r="35" outlineLevel="1">
      <c r="B35" s="16" t="s">
        <v>50</v>
      </c>
      <c r="C35" s="39">
        <v>0.22</v>
      </c>
      <c r="D35" s="31" t="s">
        <v>51</v>
      </c>
      <c r="H35" s="40" t="s">
        <v>52</v>
      </c>
    </row>
    <row r="36" outlineLevel="1">
      <c r="B36" s="16" t="s">
        <v>53</v>
      </c>
      <c r="C36" s="41">
        <f>C35*C34*75</f>
        <v>990</v>
      </c>
      <c r="D36" s="42" t="s">
        <v>54</v>
      </c>
      <c r="I36" s="5"/>
    </row>
    <row r="37" outlineLevel="1">
      <c r="B37" s="16" t="s">
        <v>55</v>
      </c>
      <c r="C37" s="39">
        <f>0.35*40</f>
        <v>14</v>
      </c>
      <c r="D37" s="42" t="s">
        <v>56</v>
      </c>
    </row>
    <row r="38" outlineLevel="1">
      <c r="B38" s="16" t="s">
        <v>57</v>
      </c>
      <c r="C38" s="43">
        <f>C34*C35</f>
        <v>13.2</v>
      </c>
      <c r="D38" s="42" t="s">
        <v>58</v>
      </c>
    </row>
    <row r="39" outlineLevel="1">
      <c r="B39" s="16" t="s">
        <v>59</v>
      </c>
      <c r="C39" s="44">
        <f>C38/C29</f>
        <v>0.09850746269</v>
      </c>
      <c r="D39" s="42" t="s">
        <v>58</v>
      </c>
    </row>
    <row r="40">
      <c r="B40" s="5"/>
      <c r="C40" s="45"/>
      <c r="D40" s="42"/>
    </row>
    <row r="41">
      <c r="B41" s="6" t="s">
        <v>60</v>
      </c>
      <c r="C41" s="46"/>
      <c r="D41" s="42"/>
    </row>
    <row r="42" outlineLevel="1">
      <c r="B42" s="16" t="s">
        <v>61</v>
      </c>
      <c r="C42" s="47">
        <v>17000.0</v>
      </c>
      <c r="D42" s="5" t="s">
        <v>62</v>
      </c>
    </row>
    <row r="43" outlineLevel="1">
      <c r="B43" s="16" t="s">
        <v>63</v>
      </c>
      <c r="C43" s="47">
        <v>250000.0</v>
      </c>
      <c r="D43" s="5" t="s">
        <v>64</v>
      </c>
    </row>
    <row r="44" outlineLevel="1">
      <c r="B44" s="16" t="s">
        <v>65</v>
      </c>
      <c r="C44" s="47">
        <v>17000.0</v>
      </c>
      <c r="D44" s="5"/>
    </row>
    <row r="45" outlineLevel="1">
      <c r="B45" s="16" t="s">
        <v>66</v>
      </c>
      <c r="C45" s="36">
        <v>0.02</v>
      </c>
      <c r="D45" s="5" t="s">
        <v>67</v>
      </c>
    </row>
    <row r="46" outlineLevel="1">
      <c r="B46" s="48" t="s">
        <v>68</v>
      </c>
      <c r="C46" s="39">
        <v>2413.2535</v>
      </c>
      <c r="D46" s="5"/>
    </row>
    <row r="47" outlineLevel="1">
      <c r="B47" s="48"/>
      <c r="C47" s="49"/>
      <c r="D47" s="5"/>
    </row>
    <row r="48" outlineLevel="1">
      <c r="B48" s="48" t="s">
        <v>69</v>
      </c>
      <c r="C48" s="47">
        <v>40000.0</v>
      </c>
      <c r="D48" s="5" t="s">
        <v>70</v>
      </c>
    </row>
    <row r="49" outlineLevel="1">
      <c r="B49" s="16" t="s">
        <v>71</v>
      </c>
      <c r="C49" s="47">
        <f>250000</f>
        <v>250000</v>
      </c>
      <c r="D49" s="5" t="s">
        <v>64</v>
      </c>
    </row>
    <row r="50" outlineLevel="1">
      <c r="B50" s="48" t="s">
        <v>72</v>
      </c>
      <c r="C50" s="47">
        <v>25000.0</v>
      </c>
      <c r="D50" s="5" t="s">
        <v>73</v>
      </c>
    </row>
    <row r="51" outlineLevel="1">
      <c r="B51" s="48" t="s">
        <v>74</v>
      </c>
      <c r="C51" s="47">
        <v>25000.0</v>
      </c>
      <c r="D51" s="5" t="s">
        <v>75</v>
      </c>
    </row>
    <row r="52" outlineLevel="1">
      <c r="B52" s="16" t="s">
        <v>76</v>
      </c>
      <c r="C52" s="36">
        <v>0.075</v>
      </c>
      <c r="D52" s="5" t="s">
        <v>77</v>
      </c>
    </row>
    <row r="53">
      <c r="B53" s="5"/>
      <c r="C53" s="50"/>
      <c r="D53" s="5"/>
    </row>
    <row r="54" collapsed="1">
      <c r="B54" s="6" t="s">
        <v>78</v>
      </c>
      <c r="C54" s="51"/>
      <c r="D54" s="5"/>
    </row>
    <row r="55" hidden="1" outlineLevel="1">
      <c r="B55" s="16" t="s">
        <v>79</v>
      </c>
      <c r="C55" s="30">
        <f>'Water Rights'!I15</f>
        <v>10571.98153</v>
      </c>
      <c r="D55" s="5" t="s">
        <v>80</v>
      </c>
    </row>
    <row r="56" hidden="1" outlineLevel="1">
      <c r="B56" s="16" t="s">
        <v>81</v>
      </c>
      <c r="C56" s="47">
        <f>'Water Rights'!K15</f>
        <v>1555.879707</v>
      </c>
      <c r="D56" s="5" t="s">
        <v>82</v>
      </c>
    </row>
    <row r="57" hidden="1" outlineLevel="1">
      <c r="B57" s="16" t="s">
        <v>83</v>
      </c>
      <c r="C57" s="49">
        <f>C55*C56</f>
        <v>16448731.53</v>
      </c>
      <c r="D57" s="5" t="s">
        <v>84</v>
      </c>
    </row>
    <row r="58" hidden="1" outlineLevel="1">
      <c r="B58" s="16" t="s">
        <v>85</v>
      </c>
      <c r="C58" s="36">
        <v>0.035</v>
      </c>
    </row>
    <row r="59">
      <c r="B59" s="1"/>
    </row>
    <row r="60" collapsed="1">
      <c r="B60" s="6" t="s">
        <v>86</v>
      </c>
      <c r="C60" s="10">
        <f>C94</f>
        <v>-3237342.526</v>
      </c>
    </row>
    <row r="61" hidden="1" outlineLevel="1">
      <c r="B61" s="5" t="s">
        <v>87</v>
      </c>
    </row>
    <row r="62" hidden="1" outlineLevel="1">
      <c r="B62" s="5" t="s">
        <v>88</v>
      </c>
    </row>
    <row r="63" hidden="1" outlineLevel="1"/>
    <row r="64" hidden="1" outlineLevel="1">
      <c r="B64" s="52" t="s">
        <v>89</v>
      </c>
      <c r="C64" s="52">
        <v>0.0</v>
      </c>
      <c r="D64" s="53">
        <f t="shared" ref="D64:AG64" si="2">C64+1</f>
        <v>1</v>
      </c>
      <c r="E64" s="53">
        <f t="shared" si="2"/>
        <v>2</v>
      </c>
      <c r="F64" s="53">
        <f t="shared" si="2"/>
        <v>3</v>
      </c>
      <c r="G64" s="53">
        <f t="shared" si="2"/>
        <v>4</v>
      </c>
      <c r="H64" s="53">
        <f t="shared" si="2"/>
        <v>5</v>
      </c>
      <c r="I64" s="53">
        <f t="shared" si="2"/>
        <v>6</v>
      </c>
      <c r="J64" s="53">
        <f t="shared" si="2"/>
        <v>7</v>
      </c>
      <c r="K64" s="53">
        <f t="shared" si="2"/>
        <v>8</v>
      </c>
      <c r="L64" s="53">
        <f t="shared" si="2"/>
        <v>9</v>
      </c>
      <c r="M64" s="53">
        <f t="shared" si="2"/>
        <v>10</v>
      </c>
      <c r="N64" s="53">
        <f t="shared" si="2"/>
        <v>11</v>
      </c>
      <c r="O64" s="53">
        <f t="shared" si="2"/>
        <v>12</v>
      </c>
      <c r="P64" s="53">
        <f t="shared" si="2"/>
        <v>13</v>
      </c>
      <c r="Q64" s="53">
        <f t="shared" si="2"/>
        <v>14</v>
      </c>
      <c r="R64" s="53">
        <f t="shared" si="2"/>
        <v>15</v>
      </c>
      <c r="S64" s="53">
        <f t="shared" si="2"/>
        <v>16</v>
      </c>
      <c r="T64" s="53">
        <f t="shared" si="2"/>
        <v>17</v>
      </c>
      <c r="U64" s="53">
        <f t="shared" si="2"/>
        <v>18</v>
      </c>
      <c r="V64" s="53">
        <f t="shared" si="2"/>
        <v>19</v>
      </c>
      <c r="W64" s="53">
        <f t="shared" si="2"/>
        <v>20</v>
      </c>
      <c r="X64" s="53">
        <f t="shared" si="2"/>
        <v>21</v>
      </c>
      <c r="Y64" s="53">
        <f t="shared" si="2"/>
        <v>22</v>
      </c>
      <c r="Z64" s="53">
        <f t="shared" si="2"/>
        <v>23</v>
      </c>
      <c r="AA64" s="53">
        <f t="shared" si="2"/>
        <v>24</v>
      </c>
      <c r="AB64" s="53">
        <f t="shared" si="2"/>
        <v>25</v>
      </c>
      <c r="AC64" s="53">
        <f t="shared" si="2"/>
        <v>26</v>
      </c>
      <c r="AD64" s="53">
        <f t="shared" si="2"/>
        <v>27</v>
      </c>
      <c r="AE64" s="53">
        <f t="shared" si="2"/>
        <v>28</v>
      </c>
      <c r="AF64" s="53">
        <f t="shared" si="2"/>
        <v>29</v>
      </c>
      <c r="AG64" s="53">
        <f t="shared" si="2"/>
        <v>30</v>
      </c>
    </row>
    <row r="65" hidden="1" outlineLevel="1">
      <c r="B65" s="52" t="s">
        <v>90</v>
      </c>
      <c r="C65" s="16">
        <v>2022.0</v>
      </c>
      <c r="D65" s="54">
        <f t="shared" ref="D65:AG65" si="3">C65+1</f>
        <v>2023</v>
      </c>
      <c r="E65" s="54">
        <f t="shared" si="3"/>
        <v>2024</v>
      </c>
      <c r="F65" s="54">
        <f t="shared" si="3"/>
        <v>2025</v>
      </c>
      <c r="G65" s="54">
        <f t="shared" si="3"/>
        <v>2026</v>
      </c>
      <c r="H65" s="54">
        <f t="shared" si="3"/>
        <v>2027</v>
      </c>
      <c r="I65" s="54">
        <f t="shared" si="3"/>
        <v>2028</v>
      </c>
      <c r="J65" s="54">
        <f t="shared" si="3"/>
        <v>2029</v>
      </c>
      <c r="K65" s="54">
        <f t="shared" si="3"/>
        <v>2030</v>
      </c>
      <c r="L65" s="54">
        <f t="shared" si="3"/>
        <v>2031</v>
      </c>
      <c r="M65" s="54">
        <f t="shared" si="3"/>
        <v>2032</v>
      </c>
      <c r="N65" s="54">
        <f t="shared" si="3"/>
        <v>2033</v>
      </c>
      <c r="O65" s="54">
        <f t="shared" si="3"/>
        <v>2034</v>
      </c>
      <c r="P65" s="54">
        <f t="shared" si="3"/>
        <v>2035</v>
      </c>
      <c r="Q65" s="54">
        <f t="shared" si="3"/>
        <v>2036</v>
      </c>
      <c r="R65" s="54">
        <f t="shared" si="3"/>
        <v>2037</v>
      </c>
      <c r="S65" s="54">
        <f t="shared" si="3"/>
        <v>2038</v>
      </c>
      <c r="T65" s="54">
        <f t="shared" si="3"/>
        <v>2039</v>
      </c>
      <c r="U65" s="54">
        <f t="shared" si="3"/>
        <v>2040</v>
      </c>
      <c r="V65" s="54">
        <f t="shared" si="3"/>
        <v>2041</v>
      </c>
      <c r="W65" s="54">
        <f t="shared" si="3"/>
        <v>2042</v>
      </c>
      <c r="X65" s="54">
        <f t="shared" si="3"/>
        <v>2043</v>
      </c>
      <c r="Y65" s="54">
        <f t="shared" si="3"/>
        <v>2044</v>
      </c>
      <c r="Z65" s="54">
        <f t="shared" si="3"/>
        <v>2045</v>
      </c>
      <c r="AA65" s="54">
        <f t="shared" si="3"/>
        <v>2046</v>
      </c>
      <c r="AB65" s="54">
        <f t="shared" si="3"/>
        <v>2047</v>
      </c>
      <c r="AC65" s="54">
        <f t="shared" si="3"/>
        <v>2048</v>
      </c>
      <c r="AD65" s="54">
        <f t="shared" si="3"/>
        <v>2049</v>
      </c>
      <c r="AE65" s="54">
        <f t="shared" si="3"/>
        <v>2050</v>
      </c>
      <c r="AF65" s="54">
        <f t="shared" si="3"/>
        <v>2051</v>
      </c>
      <c r="AG65" s="54">
        <f t="shared" si="3"/>
        <v>2052</v>
      </c>
    </row>
    <row r="66" hidden="1" outlineLevel="1">
      <c r="B66" s="52" t="s">
        <v>91</v>
      </c>
      <c r="C66" s="55">
        <f t="shared" ref="C66:AG66" si="4">(1-$C$11)^C64</f>
        <v>1</v>
      </c>
      <c r="D66" s="55">
        <f t="shared" si="4"/>
        <v>0.855</v>
      </c>
      <c r="E66" s="55">
        <f t="shared" si="4"/>
        <v>0.731025</v>
      </c>
      <c r="F66" s="55">
        <f t="shared" si="4"/>
        <v>0.625026375</v>
      </c>
      <c r="G66" s="55">
        <f t="shared" si="4"/>
        <v>0.5343975506</v>
      </c>
      <c r="H66" s="55">
        <f t="shared" si="4"/>
        <v>0.4569099058</v>
      </c>
      <c r="I66" s="55">
        <f t="shared" si="4"/>
        <v>0.3906579694</v>
      </c>
      <c r="J66" s="55">
        <f t="shared" si="4"/>
        <v>0.3340125639</v>
      </c>
      <c r="K66" s="55">
        <f t="shared" si="4"/>
        <v>0.2855807421</v>
      </c>
      <c r="L66" s="55">
        <f t="shared" si="4"/>
        <v>0.2441715345</v>
      </c>
      <c r="M66" s="55">
        <f t="shared" si="4"/>
        <v>0.208766662</v>
      </c>
      <c r="N66" s="55">
        <f t="shared" si="4"/>
        <v>0.178495496</v>
      </c>
      <c r="O66" s="55">
        <f t="shared" si="4"/>
        <v>0.1526136491</v>
      </c>
      <c r="P66" s="55">
        <f t="shared" si="4"/>
        <v>0.13048467</v>
      </c>
      <c r="Q66" s="55">
        <f t="shared" si="4"/>
        <v>0.1115643928</v>
      </c>
      <c r="R66" s="55">
        <f t="shared" si="4"/>
        <v>0.09538755587</v>
      </c>
      <c r="S66" s="55">
        <f t="shared" si="4"/>
        <v>0.08155636027</v>
      </c>
      <c r="T66" s="55">
        <f t="shared" si="4"/>
        <v>0.06973068803</v>
      </c>
      <c r="U66" s="55">
        <f t="shared" si="4"/>
        <v>0.05961973826</v>
      </c>
      <c r="V66" s="55">
        <f t="shared" si="4"/>
        <v>0.05097487622</v>
      </c>
      <c r="W66" s="55">
        <f t="shared" si="4"/>
        <v>0.04358351916</v>
      </c>
      <c r="X66" s="55">
        <f t="shared" si="4"/>
        <v>0.03726390889</v>
      </c>
      <c r="Y66" s="55">
        <f t="shared" si="4"/>
        <v>0.0318606421</v>
      </c>
      <c r="Z66" s="55">
        <f t="shared" si="4"/>
        <v>0.02724084899</v>
      </c>
      <c r="AA66" s="55">
        <f t="shared" si="4"/>
        <v>0.02329092589</v>
      </c>
      <c r="AB66" s="55">
        <f t="shared" si="4"/>
        <v>0.01991374164</v>
      </c>
      <c r="AC66" s="55">
        <f t="shared" si="4"/>
        <v>0.0170262491</v>
      </c>
      <c r="AD66" s="55">
        <f t="shared" si="4"/>
        <v>0.01455744298</v>
      </c>
      <c r="AE66" s="55">
        <f t="shared" si="4"/>
        <v>0.01244661375</v>
      </c>
      <c r="AF66" s="55">
        <f t="shared" si="4"/>
        <v>0.01064185475</v>
      </c>
      <c r="AG66" s="55">
        <f t="shared" si="4"/>
        <v>0.009098785814</v>
      </c>
    </row>
    <row r="67" hidden="1" outlineLevel="1"/>
    <row r="68" hidden="1" outlineLevel="1">
      <c r="B68" s="1" t="s">
        <v>92</v>
      </c>
    </row>
    <row r="69" hidden="1" outlineLevel="1">
      <c r="B69" s="5" t="s">
        <v>93</v>
      </c>
      <c r="E69" s="56"/>
      <c r="F69" s="57">
        <v>7150000.0</v>
      </c>
    </row>
    <row r="70" hidden="1" outlineLevel="1">
      <c r="B70" s="5" t="s">
        <v>94</v>
      </c>
      <c r="E70" s="58"/>
      <c r="F70" s="59">
        <f>208*C51*(1+C52)^F64</f>
        <v>6459943.75</v>
      </c>
    </row>
    <row r="71" hidden="1" outlineLevel="1">
      <c r="B71" s="5" t="s">
        <v>95</v>
      </c>
      <c r="D71" s="60">
        <f t="shared" ref="D71:E71" si="5">$C$14/2</f>
        <v>-6341649.5</v>
      </c>
      <c r="E71" s="60">
        <f t="shared" si="5"/>
        <v>-6341649.5</v>
      </c>
    </row>
    <row r="72" hidden="1" outlineLevel="1">
      <c r="B72" s="5" t="s">
        <v>96</v>
      </c>
      <c r="D72" s="60">
        <f t="shared" ref="D72:E72" si="6">$C$16/3</f>
        <v>-136455.3333</v>
      </c>
      <c r="E72" s="60">
        <f t="shared" si="6"/>
        <v>-136455.3333</v>
      </c>
    </row>
    <row r="73" hidden="1" outlineLevel="1">
      <c r="B73" s="5" t="s">
        <v>97</v>
      </c>
      <c r="D73" s="59">
        <v>-1000.0</v>
      </c>
      <c r="E73" s="59">
        <v>-1000.0</v>
      </c>
      <c r="F73" s="59">
        <v>-1000.0</v>
      </c>
    </row>
    <row r="74" hidden="1" outlineLevel="1">
      <c r="B74" s="1" t="s">
        <v>98</v>
      </c>
      <c r="D74" s="61">
        <f t="shared" ref="D74:AG74" si="7">SUM(D69:D73)</f>
        <v>-6479104.833</v>
      </c>
      <c r="E74" s="61">
        <f t="shared" si="7"/>
        <v>-6479104.833</v>
      </c>
      <c r="F74" s="61">
        <f t="shared" si="7"/>
        <v>13608943.75</v>
      </c>
      <c r="G74" s="61">
        <f t="shared" si="7"/>
        <v>0</v>
      </c>
      <c r="H74" s="61">
        <f t="shared" si="7"/>
        <v>0</v>
      </c>
      <c r="I74" s="61">
        <f t="shared" si="7"/>
        <v>0</v>
      </c>
      <c r="J74" s="61">
        <f t="shared" si="7"/>
        <v>0</v>
      </c>
      <c r="K74" s="61">
        <f t="shared" si="7"/>
        <v>0</v>
      </c>
      <c r="L74" s="61">
        <f t="shared" si="7"/>
        <v>0</v>
      </c>
      <c r="M74" s="61">
        <f t="shared" si="7"/>
        <v>0</v>
      </c>
      <c r="N74" s="61">
        <f t="shared" si="7"/>
        <v>0</v>
      </c>
      <c r="O74" s="61">
        <f t="shared" si="7"/>
        <v>0</v>
      </c>
      <c r="P74" s="61">
        <f t="shared" si="7"/>
        <v>0</v>
      </c>
      <c r="Q74" s="61">
        <f t="shared" si="7"/>
        <v>0</v>
      </c>
      <c r="R74" s="61">
        <f t="shared" si="7"/>
        <v>0</v>
      </c>
      <c r="S74" s="61">
        <f t="shared" si="7"/>
        <v>0</v>
      </c>
      <c r="T74" s="61">
        <f t="shared" si="7"/>
        <v>0</v>
      </c>
      <c r="U74" s="61">
        <f t="shared" si="7"/>
        <v>0</v>
      </c>
      <c r="V74" s="61">
        <f t="shared" si="7"/>
        <v>0</v>
      </c>
      <c r="W74" s="61">
        <f t="shared" si="7"/>
        <v>0</v>
      </c>
      <c r="X74" s="61">
        <f t="shared" si="7"/>
        <v>0</v>
      </c>
      <c r="Y74" s="61">
        <f t="shared" si="7"/>
        <v>0</v>
      </c>
      <c r="Z74" s="61">
        <f t="shared" si="7"/>
        <v>0</v>
      </c>
      <c r="AA74" s="61">
        <f t="shared" si="7"/>
        <v>0</v>
      </c>
      <c r="AB74" s="61">
        <f t="shared" si="7"/>
        <v>0</v>
      </c>
      <c r="AC74" s="61">
        <f t="shared" si="7"/>
        <v>0</v>
      </c>
      <c r="AD74" s="61">
        <f t="shared" si="7"/>
        <v>0</v>
      </c>
      <c r="AE74" s="61">
        <f t="shared" si="7"/>
        <v>0</v>
      </c>
      <c r="AF74" s="61">
        <f t="shared" si="7"/>
        <v>0</v>
      </c>
      <c r="AG74" s="61">
        <f t="shared" si="7"/>
        <v>0</v>
      </c>
    </row>
    <row r="75" hidden="1" outlineLevel="1"/>
    <row r="76" hidden="1" outlineLevel="1">
      <c r="B76" s="1" t="s">
        <v>99</v>
      </c>
    </row>
    <row r="77" hidden="1" outlineLevel="1">
      <c r="B77" s="5" t="s">
        <v>100</v>
      </c>
      <c r="C77" s="62">
        <f>C25</f>
        <v>338475</v>
      </c>
      <c r="D77" s="62">
        <f t="shared" ref="D77:AG77" si="8">C77</f>
        <v>338475</v>
      </c>
      <c r="E77" s="62">
        <f t="shared" si="8"/>
        <v>338475</v>
      </c>
      <c r="F77" s="62">
        <f t="shared" si="8"/>
        <v>338475</v>
      </c>
      <c r="G77" s="62">
        <f t="shared" si="8"/>
        <v>338475</v>
      </c>
      <c r="H77" s="62">
        <f t="shared" si="8"/>
        <v>338475</v>
      </c>
      <c r="I77" s="62">
        <f t="shared" si="8"/>
        <v>338475</v>
      </c>
      <c r="J77" s="62">
        <f t="shared" si="8"/>
        <v>338475</v>
      </c>
      <c r="K77" s="62">
        <f t="shared" si="8"/>
        <v>338475</v>
      </c>
      <c r="L77" s="62">
        <f t="shared" si="8"/>
        <v>338475</v>
      </c>
      <c r="M77" s="62">
        <f t="shared" si="8"/>
        <v>338475</v>
      </c>
      <c r="N77" s="62">
        <f t="shared" si="8"/>
        <v>338475</v>
      </c>
      <c r="O77" s="62">
        <f t="shared" si="8"/>
        <v>338475</v>
      </c>
      <c r="P77" s="62">
        <f t="shared" si="8"/>
        <v>338475</v>
      </c>
      <c r="Q77" s="62">
        <f t="shared" si="8"/>
        <v>338475</v>
      </c>
      <c r="R77" s="62">
        <f t="shared" si="8"/>
        <v>338475</v>
      </c>
      <c r="S77" s="62">
        <f t="shared" si="8"/>
        <v>338475</v>
      </c>
      <c r="T77" s="62">
        <f t="shared" si="8"/>
        <v>338475</v>
      </c>
      <c r="U77" s="62">
        <f t="shared" si="8"/>
        <v>338475</v>
      </c>
      <c r="V77" s="62">
        <f t="shared" si="8"/>
        <v>338475</v>
      </c>
      <c r="W77" s="62">
        <f t="shared" si="8"/>
        <v>338475</v>
      </c>
      <c r="X77" s="62">
        <f t="shared" si="8"/>
        <v>338475</v>
      </c>
      <c r="Y77" s="62">
        <f t="shared" si="8"/>
        <v>338475</v>
      </c>
      <c r="Z77" s="62">
        <f t="shared" si="8"/>
        <v>338475</v>
      </c>
      <c r="AA77" s="62">
        <f t="shared" si="8"/>
        <v>338475</v>
      </c>
      <c r="AB77" s="62">
        <f t="shared" si="8"/>
        <v>338475</v>
      </c>
      <c r="AC77" s="62">
        <f t="shared" si="8"/>
        <v>338475</v>
      </c>
      <c r="AD77" s="62">
        <f t="shared" si="8"/>
        <v>338475</v>
      </c>
      <c r="AE77" s="62">
        <f t="shared" si="8"/>
        <v>338475</v>
      </c>
      <c r="AF77" s="62">
        <f t="shared" si="8"/>
        <v>338475</v>
      </c>
      <c r="AG77" s="62">
        <f t="shared" si="8"/>
        <v>338475</v>
      </c>
    </row>
    <row r="78" hidden="1" outlineLevel="1">
      <c r="B78" s="5" t="s">
        <v>101</v>
      </c>
      <c r="C78" s="63">
        <f>C29</f>
        <v>134</v>
      </c>
      <c r="D78" s="63">
        <f t="shared" ref="D78:AG78" si="9">C78*(1+$C$30)</f>
        <v>138.69</v>
      </c>
      <c r="E78" s="63">
        <f t="shared" si="9"/>
        <v>143.54415</v>
      </c>
      <c r="F78" s="63">
        <f t="shared" si="9"/>
        <v>148.5681953</v>
      </c>
      <c r="G78" s="63">
        <f t="shared" si="9"/>
        <v>153.7680821</v>
      </c>
      <c r="H78" s="63">
        <f t="shared" si="9"/>
        <v>159.149965</v>
      </c>
      <c r="I78" s="63">
        <f t="shared" si="9"/>
        <v>164.7202137</v>
      </c>
      <c r="J78" s="63">
        <f t="shared" si="9"/>
        <v>170.4854212</v>
      </c>
      <c r="K78" s="63">
        <f t="shared" si="9"/>
        <v>176.452411</v>
      </c>
      <c r="L78" s="63">
        <f t="shared" si="9"/>
        <v>182.6282453</v>
      </c>
      <c r="M78" s="63">
        <f t="shared" si="9"/>
        <v>189.0202339</v>
      </c>
      <c r="N78" s="63">
        <f t="shared" si="9"/>
        <v>195.6359421</v>
      </c>
      <c r="O78" s="63">
        <f t="shared" si="9"/>
        <v>202.4832001</v>
      </c>
      <c r="P78" s="63">
        <f t="shared" si="9"/>
        <v>209.5701121</v>
      </c>
      <c r="Q78" s="63">
        <f t="shared" si="9"/>
        <v>216.905066</v>
      </c>
      <c r="R78" s="63">
        <f t="shared" si="9"/>
        <v>224.4967433</v>
      </c>
      <c r="S78" s="63">
        <f t="shared" si="9"/>
        <v>232.3541293</v>
      </c>
      <c r="T78" s="63">
        <f t="shared" si="9"/>
        <v>240.4865239</v>
      </c>
      <c r="U78" s="63">
        <f t="shared" si="9"/>
        <v>248.9035522</v>
      </c>
      <c r="V78" s="63">
        <f t="shared" si="9"/>
        <v>257.6151765</v>
      </c>
      <c r="W78" s="63">
        <f t="shared" si="9"/>
        <v>266.6317077</v>
      </c>
      <c r="X78" s="63">
        <f t="shared" si="9"/>
        <v>275.9638175</v>
      </c>
      <c r="Y78" s="63">
        <f t="shared" si="9"/>
        <v>285.6225511</v>
      </c>
      <c r="Z78" s="63">
        <f t="shared" si="9"/>
        <v>295.6193404</v>
      </c>
      <c r="AA78" s="63">
        <f t="shared" si="9"/>
        <v>305.9660173</v>
      </c>
      <c r="AB78" s="63">
        <f t="shared" si="9"/>
        <v>316.6748279</v>
      </c>
      <c r="AC78" s="63">
        <f t="shared" si="9"/>
        <v>327.7584469</v>
      </c>
      <c r="AD78" s="63">
        <f t="shared" si="9"/>
        <v>339.2299925</v>
      </c>
      <c r="AE78" s="63">
        <f t="shared" si="9"/>
        <v>351.1030422</v>
      </c>
      <c r="AF78" s="63">
        <f t="shared" si="9"/>
        <v>363.3916487</v>
      </c>
      <c r="AG78" s="63">
        <f t="shared" si="9"/>
        <v>376.1103564</v>
      </c>
    </row>
    <row r="79" hidden="1" outlineLevel="1">
      <c r="B79" s="1" t="s">
        <v>102</v>
      </c>
      <c r="C79" s="64">
        <f t="shared" ref="C79:AG79" si="10">C77*C78</f>
        <v>45355650</v>
      </c>
      <c r="D79" s="64">
        <f t="shared" si="10"/>
        <v>46943097.75</v>
      </c>
      <c r="E79" s="64">
        <f t="shared" si="10"/>
        <v>48586106.17</v>
      </c>
      <c r="F79" s="64">
        <f t="shared" si="10"/>
        <v>50286619.89</v>
      </c>
      <c r="G79" s="64">
        <f t="shared" si="10"/>
        <v>52046651.58</v>
      </c>
      <c r="H79" s="60">
        <f t="shared" si="10"/>
        <v>53868284.39</v>
      </c>
      <c r="I79" s="60">
        <f t="shared" si="10"/>
        <v>55753674.34</v>
      </c>
      <c r="J79" s="60">
        <f t="shared" si="10"/>
        <v>57705052.94</v>
      </c>
      <c r="K79" s="60">
        <f t="shared" si="10"/>
        <v>59724729.8</v>
      </c>
      <c r="L79" s="60">
        <f t="shared" si="10"/>
        <v>61815095.34</v>
      </c>
      <c r="M79" s="60">
        <f t="shared" si="10"/>
        <v>63978623.68</v>
      </c>
      <c r="N79" s="60">
        <f t="shared" si="10"/>
        <v>66217875.51</v>
      </c>
      <c r="O79" s="60">
        <f t="shared" si="10"/>
        <v>68535501.15</v>
      </c>
      <c r="P79" s="60">
        <f t="shared" si="10"/>
        <v>70934243.69</v>
      </c>
      <c r="Q79" s="60">
        <f t="shared" si="10"/>
        <v>73416942.22</v>
      </c>
      <c r="R79" s="60">
        <f t="shared" si="10"/>
        <v>75986535.2</v>
      </c>
      <c r="S79" s="60">
        <f t="shared" si="10"/>
        <v>78646063.93</v>
      </c>
      <c r="T79" s="60">
        <f t="shared" si="10"/>
        <v>81398676.16</v>
      </c>
      <c r="U79" s="60">
        <f t="shared" si="10"/>
        <v>84247629.83</v>
      </c>
      <c r="V79" s="60">
        <f t="shared" si="10"/>
        <v>87196296.87</v>
      </c>
      <c r="W79" s="60">
        <f t="shared" si="10"/>
        <v>90248167.27</v>
      </c>
      <c r="X79" s="60">
        <f t="shared" si="10"/>
        <v>93406853.12</v>
      </c>
      <c r="Y79" s="60">
        <f t="shared" si="10"/>
        <v>96676092.98</v>
      </c>
      <c r="Z79" s="60">
        <f t="shared" si="10"/>
        <v>100059756.2</v>
      </c>
      <c r="AA79" s="60">
        <f t="shared" si="10"/>
        <v>103561847.7</v>
      </c>
      <c r="AB79" s="60">
        <f t="shared" si="10"/>
        <v>107186512.4</v>
      </c>
      <c r="AC79" s="60">
        <f t="shared" si="10"/>
        <v>110938040.3</v>
      </c>
      <c r="AD79" s="60">
        <f t="shared" si="10"/>
        <v>114820871.7</v>
      </c>
      <c r="AE79" s="60">
        <f t="shared" si="10"/>
        <v>118839602.2</v>
      </c>
      <c r="AF79" s="60">
        <f t="shared" si="10"/>
        <v>122998988.3</v>
      </c>
      <c r="AG79" s="60">
        <f t="shared" si="10"/>
        <v>127303952.9</v>
      </c>
    </row>
    <row r="80" hidden="1" outlineLevel="1"/>
    <row r="81" hidden="1" outlineLevel="1">
      <c r="B81" s="1" t="s">
        <v>103</v>
      </c>
      <c r="C81" s="65">
        <f>C31</f>
        <v>0.19</v>
      </c>
      <c r="D81" s="65">
        <f t="shared" ref="D81:AG81" si="11">C81</f>
        <v>0.19</v>
      </c>
      <c r="E81" s="65">
        <f t="shared" si="11"/>
        <v>0.19</v>
      </c>
      <c r="F81" s="65">
        <f t="shared" si="11"/>
        <v>0.19</v>
      </c>
      <c r="G81" s="65">
        <f t="shared" si="11"/>
        <v>0.19</v>
      </c>
      <c r="H81" s="65">
        <f t="shared" si="11"/>
        <v>0.19</v>
      </c>
      <c r="I81" s="65">
        <f t="shared" si="11"/>
        <v>0.19</v>
      </c>
      <c r="J81" s="65">
        <f t="shared" si="11"/>
        <v>0.19</v>
      </c>
      <c r="K81" s="65">
        <f t="shared" si="11"/>
        <v>0.19</v>
      </c>
      <c r="L81" s="65">
        <f t="shared" si="11"/>
        <v>0.19</v>
      </c>
      <c r="M81" s="65">
        <f t="shared" si="11"/>
        <v>0.19</v>
      </c>
      <c r="N81" s="65">
        <f t="shared" si="11"/>
        <v>0.19</v>
      </c>
      <c r="O81" s="65">
        <f t="shared" si="11"/>
        <v>0.19</v>
      </c>
      <c r="P81" s="65">
        <f t="shared" si="11"/>
        <v>0.19</v>
      </c>
      <c r="Q81" s="65">
        <f t="shared" si="11"/>
        <v>0.19</v>
      </c>
      <c r="R81" s="65">
        <f t="shared" si="11"/>
        <v>0.19</v>
      </c>
      <c r="S81" s="65">
        <f t="shared" si="11"/>
        <v>0.19</v>
      </c>
      <c r="T81" s="65">
        <f t="shared" si="11"/>
        <v>0.19</v>
      </c>
      <c r="U81" s="65">
        <f t="shared" si="11"/>
        <v>0.19</v>
      </c>
      <c r="V81" s="65">
        <f t="shared" si="11"/>
        <v>0.19</v>
      </c>
      <c r="W81" s="65">
        <f t="shared" si="11"/>
        <v>0.19</v>
      </c>
      <c r="X81" s="65">
        <f t="shared" si="11"/>
        <v>0.19</v>
      </c>
      <c r="Y81" s="65">
        <f t="shared" si="11"/>
        <v>0.19</v>
      </c>
      <c r="Z81" s="65">
        <f t="shared" si="11"/>
        <v>0.19</v>
      </c>
      <c r="AA81" s="65">
        <f t="shared" si="11"/>
        <v>0.19</v>
      </c>
      <c r="AB81" s="65">
        <f t="shared" si="11"/>
        <v>0.19</v>
      </c>
      <c r="AC81" s="65">
        <f t="shared" si="11"/>
        <v>0.19</v>
      </c>
      <c r="AD81" s="65">
        <f t="shared" si="11"/>
        <v>0.19</v>
      </c>
      <c r="AE81" s="65">
        <f t="shared" si="11"/>
        <v>0.19</v>
      </c>
      <c r="AF81" s="65">
        <f t="shared" si="11"/>
        <v>0.19</v>
      </c>
      <c r="AG81" s="65">
        <f t="shared" si="11"/>
        <v>0.19</v>
      </c>
    </row>
    <row r="82" hidden="1" outlineLevel="1">
      <c r="B82" s="5" t="s">
        <v>104</v>
      </c>
      <c r="C82" s="64">
        <f t="shared" ref="C82:AG82" si="12">C79*C81</f>
        <v>8617573.5</v>
      </c>
      <c r="D82" s="64">
        <f t="shared" si="12"/>
        <v>8919188.573</v>
      </c>
      <c r="E82" s="64">
        <f t="shared" si="12"/>
        <v>9231360.173</v>
      </c>
      <c r="F82" s="64">
        <f t="shared" si="12"/>
        <v>9554457.779</v>
      </c>
      <c r="G82" s="64">
        <f t="shared" si="12"/>
        <v>9888863.801</v>
      </c>
      <c r="H82" s="64">
        <f t="shared" si="12"/>
        <v>10234974.03</v>
      </c>
      <c r="I82" s="64">
        <f t="shared" si="12"/>
        <v>10593198.13</v>
      </c>
      <c r="J82" s="64">
        <f t="shared" si="12"/>
        <v>10963960.06</v>
      </c>
      <c r="K82" s="64">
        <f t="shared" si="12"/>
        <v>11347698.66</v>
      </c>
      <c r="L82" s="64">
        <f t="shared" si="12"/>
        <v>11744868.11</v>
      </c>
      <c r="M82" s="64">
        <f t="shared" si="12"/>
        <v>12155938.5</v>
      </c>
      <c r="N82" s="64">
        <f t="shared" si="12"/>
        <v>12581396.35</v>
      </c>
      <c r="O82" s="64">
        <f t="shared" si="12"/>
        <v>13021745.22</v>
      </c>
      <c r="P82" s="64">
        <f t="shared" si="12"/>
        <v>13477506.3</v>
      </c>
      <c r="Q82" s="64">
        <f t="shared" si="12"/>
        <v>13949219.02</v>
      </c>
      <c r="R82" s="64">
        <f t="shared" si="12"/>
        <v>14437441.69</v>
      </c>
      <c r="S82" s="64">
        <f t="shared" si="12"/>
        <v>14942752.15</v>
      </c>
      <c r="T82" s="64">
        <f t="shared" si="12"/>
        <v>15465748.47</v>
      </c>
      <c r="U82" s="64">
        <f t="shared" si="12"/>
        <v>16007049.67</v>
      </c>
      <c r="V82" s="64">
        <f t="shared" si="12"/>
        <v>16567296.41</v>
      </c>
      <c r="W82" s="64">
        <f t="shared" si="12"/>
        <v>17147151.78</v>
      </c>
      <c r="X82" s="64">
        <f t="shared" si="12"/>
        <v>17747302.09</v>
      </c>
      <c r="Y82" s="64">
        <f t="shared" si="12"/>
        <v>18368457.67</v>
      </c>
      <c r="Z82" s="64">
        <f t="shared" si="12"/>
        <v>19011353.68</v>
      </c>
      <c r="AA82" s="64">
        <f t="shared" si="12"/>
        <v>19676751.06</v>
      </c>
      <c r="AB82" s="64">
        <f t="shared" si="12"/>
        <v>20365437.35</v>
      </c>
      <c r="AC82" s="64">
        <f t="shared" si="12"/>
        <v>21078227.66</v>
      </c>
      <c r="AD82" s="64">
        <f t="shared" si="12"/>
        <v>21815965.63</v>
      </c>
      <c r="AE82" s="64">
        <f t="shared" si="12"/>
        <v>22579524.42</v>
      </c>
      <c r="AF82" s="64">
        <f t="shared" si="12"/>
        <v>23369807.78</v>
      </c>
      <c r="AG82" s="64">
        <f t="shared" si="12"/>
        <v>24187751.05</v>
      </c>
    </row>
    <row r="83" hidden="1" outlineLevel="1">
      <c r="B83" s="1"/>
      <c r="C83" s="60"/>
    </row>
    <row r="84" hidden="1" outlineLevel="1">
      <c r="B84" s="1" t="s">
        <v>105</v>
      </c>
      <c r="C84" s="60"/>
    </row>
    <row r="85" hidden="1" outlineLevel="1">
      <c r="B85" s="5" t="s">
        <v>106</v>
      </c>
      <c r="C85" s="62">
        <f>(C22+C21)*0.25</f>
        <v>100000</v>
      </c>
      <c r="D85" s="62">
        <f>C21+C22</f>
        <v>400000</v>
      </c>
      <c r="E85" s="62">
        <f t="shared" ref="E85:AG85" si="13">D85</f>
        <v>400000</v>
      </c>
      <c r="F85" s="62">
        <f t="shared" si="13"/>
        <v>400000</v>
      </c>
      <c r="G85" s="62">
        <f t="shared" si="13"/>
        <v>400000</v>
      </c>
      <c r="H85" s="62">
        <f t="shared" si="13"/>
        <v>400000</v>
      </c>
      <c r="I85" s="62">
        <f t="shared" si="13"/>
        <v>400000</v>
      </c>
      <c r="J85" s="62">
        <f t="shared" si="13"/>
        <v>400000</v>
      </c>
      <c r="K85" s="62">
        <f t="shared" si="13"/>
        <v>400000</v>
      </c>
      <c r="L85" s="62">
        <f t="shared" si="13"/>
        <v>400000</v>
      </c>
      <c r="M85" s="62">
        <f t="shared" si="13"/>
        <v>400000</v>
      </c>
      <c r="N85" s="62">
        <f t="shared" si="13"/>
        <v>400000</v>
      </c>
      <c r="O85" s="62">
        <f t="shared" si="13"/>
        <v>400000</v>
      </c>
      <c r="P85" s="62">
        <f t="shared" si="13"/>
        <v>400000</v>
      </c>
      <c r="Q85" s="62">
        <f t="shared" si="13"/>
        <v>400000</v>
      </c>
      <c r="R85" s="62">
        <f t="shared" si="13"/>
        <v>400000</v>
      </c>
      <c r="S85" s="62">
        <f t="shared" si="13"/>
        <v>400000</v>
      </c>
      <c r="T85" s="62">
        <f t="shared" si="13"/>
        <v>400000</v>
      </c>
      <c r="U85" s="62">
        <f t="shared" si="13"/>
        <v>400000</v>
      </c>
      <c r="V85" s="62">
        <f t="shared" si="13"/>
        <v>400000</v>
      </c>
      <c r="W85" s="62">
        <f t="shared" si="13"/>
        <v>400000</v>
      </c>
      <c r="X85" s="62">
        <f t="shared" si="13"/>
        <v>400000</v>
      </c>
      <c r="Y85" s="62">
        <f t="shared" si="13"/>
        <v>400000</v>
      </c>
      <c r="Z85" s="62">
        <f t="shared" si="13"/>
        <v>400000</v>
      </c>
      <c r="AA85" s="62">
        <f t="shared" si="13"/>
        <v>400000</v>
      </c>
      <c r="AB85" s="62">
        <f t="shared" si="13"/>
        <v>400000</v>
      </c>
      <c r="AC85" s="62">
        <f t="shared" si="13"/>
        <v>400000</v>
      </c>
      <c r="AD85" s="62">
        <f t="shared" si="13"/>
        <v>400000</v>
      </c>
      <c r="AE85" s="62">
        <f t="shared" si="13"/>
        <v>400000</v>
      </c>
      <c r="AF85" s="62">
        <f t="shared" si="13"/>
        <v>400000</v>
      </c>
      <c r="AG85" s="62">
        <f t="shared" si="13"/>
        <v>400000</v>
      </c>
    </row>
    <row r="86" hidden="1" outlineLevel="1">
      <c r="B86" s="5" t="s">
        <v>107</v>
      </c>
      <c r="C86" s="63">
        <f t="shared" ref="C86:AG86" si="14">$C$37*(1+$C$30)^C64</f>
        <v>14</v>
      </c>
      <c r="D86" s="63">
        <f t="shared" si="14"/>
        <v>14.49</v>
      </c>
      <c r="E86" s="63">
        <f t="shared" si="14"/>
        <v>14.99715</v>
      </c>
      <c r="F86" s="63">
        <f t="shared" si="14"/>
        <v>15.52205025</v>
      </c>
      <c r="G86" s="63">
        <f t="shared" si="14"/>
        <v>16.06532201</v>
      </c>
      <c r="H86" s="63">
        <f t="shared" si="14"/>
        <v>16.62760828</v>
      </c>
      <c r="I86" s="63">
        <f t="shared" si="14"/>
        <v>17.20957457</v>
      </c>
      <c r="J86" s="63">
        <f t="shared" si="14"/>
        <v>17.81190968</v>
      </c>
      <c r="K86" s="63">
        <f t="shared" si="14"/>
        <v>18.43532652</v>
      </c>
      <c r="L86" s="63">
        <f t="shared" si="14"/>
        <v>19.08056295</v>
      </c>
      <c r="M86" s="63">
        <f t="shared" si="14"/>
        <v>19.74838265</v>
      </c>
      <c r="N86" s="63">
        <f t="shared" si="14"/>
        <v>20.43957604</v>
      </c>
      <c r="O86" s="63">
        <f t="shared" si="14"/>
        <v>21.1549612</v>
      </c>
      <c r="P86" s="63">
        <f t="shared" si="14"/>
        <v>21.89538484</v>
      </c>
      <c r="Q86" s="63">
        <f t="shared" si="14"/>
        <v>22.66172331</v>
      </c>
      <c r="R86" s="63">
        <f t="shared" si="14"/>
        <v>23.45488363</v>
      </c>
      <c r="S86" s="63">
        <f t="shared" si="14"/>
        <v>24.27580456</v>
      </c>
      <c r="T86" s="63">
        <f t="shared" si="14"/>
        <v>25.12545772</v>
      </c>
      <c r="U86" s="63">
        <f t="shared" si="14"/>
        <v>26.00484874</v>
      </c>
      <c r="V86" s="63">
        <f t="shared" si="14"/>
        <v>26.91501844</v>
      </c>
      <c r="W86" s="63">
        <f t="shared" si="14"/>
        <v>27.85704409</v>
      </c>
      <c r="X86" s="63">
        <f t="shared" si="14"/>
        <v>28.83204063</v>
      </c>
      <c r="Y86" s="63">
        <f t="shared" si="14"/>
        <v>29.84116205</v>
      </c>
      <c r="Z86" s="63">
        <f t="shared" si="14"/>
        <v>30.88560273</v>
      </c>
      <c r="AA86" s="63">
        <f t="shared" si="14"/>
        <v>31.96659882</v>
      </c>
      <c r="AB86" s="63">
        <f t="shared" si="14"/>
        <v>33.08542978</v>
      </c>
      <c r="AC86" s="63">
        <f t="shared" si="14"/>
        <v>34.24341982</v>
      </c>
      <c r="AD86" s="63">
        <f t="shared" si="14"/>
        <v>35.44193952</v>
      </c>
      <c r="AE86" s="63">
        <f t="shared" si="14"/>
        <v>36.6824074</v>
      </c>
      <c r="AF86" s="63">
        <f t="shared" si="14"/>
        <v>37.96629166</v>
      </c>
      <c r="AG86" s="63">
        <f t="shared" si="14"/>
        <v>39.29511187</v>
      </c>
    </row>
    <row r="87" hidden="1" outlineLevel="1">
      <c r="B87" s="5" t="s">
        <v>108</v>
      </c>
      <c r="C87" s="60">
        <f>C85*C86</f>
        <v>1400000</v>
      </c>
      <c r="D87" s="60">
        <f t="shared" ref="D87:AG87" si="15">D85*$C$37</f>
        <v>5600000</v>
      </c>
      <c r="E87" s="60">
        <f t="shared" si="15"/>
        <v>5600000</v>
      </c>
      <c r="F87" s="60">
        <f t="shared" si="15"/>
        <v>5600000</v>
      </c>
      <c r="G87" s="60">
        <f t="shared" si="15"/>
        <v>5600000</v>
      </c>
      <c r="H87" s="60">
        <f t="shared" si="15"/>
        <v>5600000</v>
      </c>
      <c r="I87" s="60">
        <f t="shared" si="15"/>
        <v>5600000</v>
      </c>
      <c r="J87" s="60">
        <f t="shared" si="15"/>
        <v>5600000</v>
      </c>
      <c r="K87" s="60">
        <f t="shared" si="15"/>
        <v>5600000</v>
      </c>
      <c r="L87" s="60">
        <f t="shared" si="15"/>
        <v>5600000</v>
      </c>
      <c r="M87" s="60">
        <f t="shared" si="15"/>
        <v>5600000</v>
      </c>
      <c r="N87" s="60">
        <f t="shared" si="15"/>
        <v>5600000</v>
      </c>
      <c r="O87" s="60">
        <f t="shared" si="15"/>
        <v>5600000</v>
      </c>
      <c r="P87" s="60">
        <f t="shared" si="15"/>
        <v>5600000</v>
      </c>
      <c r="Q87" s="60">
        <f t="shared" si="15"/>
        <v>5600000</v>
      </c>
      <c r="R87" s="60">
        <f t="shared" si="15"/>
        <v>5600000</v>
      </c>
      <c r="S87" s="60">
        <f t="shared" si="15"/>
        <v>5600000</v>
      </c>
      <c r="T87" s="60">
        <f t="shared" si="15"/>
        <v>5600000</v>
      </c>
      <c r="U87" s="60">
        <f t="shared" si="15"/>
        <v>5600000</v>
      </c>
      <c r="V87" s="60">
        <f t="shared" si="15"/>
        <v>5600000</v>
      </c>
      <c r="W87" s="60">
        <f t="shared" si="15"/>
        <v>5600000</v>
      </c>
      <c r="X87" s="60">
        <f t="shared" si="15"/>
        <v>5600000</v>
      </c>
      <c r="Y87" s="60">
        <f t="shared" si="15"/>
        <v>5600000</v>
      </c>
      <c r="Z87" s="60">
        <f t="shared" si="15"/>
        <v>5600000</v>
      </c>
      <c r="AA87" s="60">
        <f t="shared" si="15"/>
        <v>5600000</v>
      </c>
      <c r="AB87" s="60">
        <f t="shared" si="15"/>
        <v>5600000</v>
      </c>
      <c r="AC87" s="60">
        <f t="shared" si="15"/>
        <v>5600000</v>
      </c>
      <c r="AD87" s="60">
        <f t="shared" si="15"/>
        <v>5600000</v>
      </c>
      <c r="AE87" s="60">
        <f t="shared" si="15"/>
        <v>5600000</v>
      </c>
      <c r="AF87" s="60">
        <f t="shared" si="15"/>
        <v>5600000</v>
      </c>
      <c r="AG87" s="60">
        <f t="shared" si="15"/>
        <v>5600000</v>
      </c>
    </row>
    <row r="88" hidden="1" outlineLevel="1">
      <c r="B88" s="5" t="s">
        <v>109</v>
      </c>
      <c r="C88" s="66">
        <f>C35</f>
        <v>0.22</v>
      </c>
      <c r="D88" s="66">
        <f t="shared" ref="D88:AG88" si="16">C88*(1+$C$30)</f>
        <v>0.2277</v>
      </c>
      <c r="E88" s="66">
        <f t="shared" si="16"/>
        <v>0.2356695</v>
      </c>
      <c r="F88" s="66">
        <f t="shared" si="16"/>
        <v>0.2439179325</v>
      </c>
      <c r="G88" s="66">
        <f t="shared" si="16"/>
        <v>0.2524550601</v>
      </c>
      <c r="H88" s="66">
        <f t="shared" si="16"/>
        <v>0.2612909872</v>
      </c>
      <c r="I88" s="66">
        <f t="shared" si="16"/>
        <v>0.2704361718</v>
      </c>
      <c r="J88" s="66">
        <f t="shared" si="16"/>
        <v>0.2799014378</v>
      </c>
      <c r="K88" s="66">
        <f t="shared" si="16"/>
        <v>0.2896979881</v>
      </c>
      <c r="L88" s="66">
        <f t="shared" si="16"/>
        <v>0.2998374177</v>
      </c>
      <c r="M88" s="66">
        <f t="shared" si="16"/>
        <v>0.3103317273</v>
      </c>
      <c r="N88" s="66">
        <f t="shared" si="16"/>
        <v>0.3211933378</v>
      </c>
      <c r="O88" s="66">
        <f t="shared" si="16"/>
        <v>0.3324351046</v>
      </c>
      <c r="P88" s="66">
        <f t="shared" si="16"/>
        <v>0.3440703333</v>
      </c>
      <c r="Q88" s="66">
        <f t="shared" si="16"/>
        <v>0.3561127949</v>
      </c>
      <c r="R88" s="66">
        <f t="shared" si="16"/>
        <v>0.3685767428</v>
      </c>
      <c r="S88" s="66">
        <f t="shared" si="16"/>
        <v>0.3814769288</v>
      </c>
      <c r="T88" s="66">
        <f t="shared" si="16"/>
        <v>0.3948286213</v>
      </c>
      <c r="U88" s="66">
        <f t="shared" si="16"/>
        <v>0.408647623</v>
      </c>
      <c r="V88" s="66">
        <f t="shared" si="16"/>
        <v>0.4229502898</v>
      </c>
      <c r="W88" s="66">
        <f t="shared" si="16"/>
        <v>0.43775355</v>
      </c>
      <c r="X88" s="66">
        <f t="shared" si="16"/>
        <v>0.4530749242</v>
      </c>
      <c r="Y88" s="66">
        <f t="shared" si="16"/>
        <v>0.4689325466</v>
      </c>
      <c r="Z88" s="66">
        <f t="shared" si="16"/>
        <v>0.4853451857</v>
      </c>
      <c r="AA88" s="66">
        <f t="shared" si="16"/>
        <v>0.5023322672</v>
      </c>
      <c r="AB88" s="66">
        <f t="shared" si="16"/>
        <v>0.5199138965</v>
      </c>
      <c r="AC88" s="66">
        <f t="shared" si="16"/>
        <v>0.5381108829</v>
      </c>
      <c r="AD88" s="66">
        <f t="shared" si="16"/>
        <v>0.5569447638</v>
      </c>
      <c r="AE88" s="66">
        <f t="shared" si="16"/>
        <v>0.5764378306</v>
      </c>
      <c r="AF88" s="66">
        <f t="shared" si="16"/>
        <v>0.5966131546</v>
      </c>
      <c r="AG88" s="66">
        <f t="shared" si="16"/>
        <v>0.617494615</v>
      </c>
    </row>
    <row r="89" hidden="1" outlineLevel="1">
      <c r="B89" s="1" t="s">
        <v>110</v>
      </c>
      <c r="C89" s="60">
        <f t="shared" ref="C89:AG89" si="17">C85*C88*$C$34</f>
        <v>1320000</v>
      </c>
      <c r="D89" s="60">
        <f t="shared" si="17"/>
        <v>5464800</v>
      </c>
      <c r="E89" s="60">
        <f t="shared" si="17"/>
        <v>5656068</v>
      </c>
      <c r="F89" s="60">
        <f t="shared" si="17"/>
        <v>5854030.38</v>
      </c>
      <c r="G89" s="60">
        <f t="shared" si="17"/>
        <v>6058921.443</v>
      </c>
      <c r="H89" s="60">
        <f t="shared" si="17"/>
        <v>6270983.694</v>
      </c>
      <c r="I89" s="60">
        <f t="shared" si="17"/>
        <v>6490468.123</v>
      </c>
      <c r="J89" s="60">
        <f t="shared" si="17"/>
        <v>6717634.507</v>
      </c>
      <c r="K89" s="60">
        <f t="shared" si="17"/>
        <v>6952751.715</v>
      </c>
      <c r="L89" s="60">
        <f t="shared" si="17"/>
        <v>7196098.025</v>
      </c>
      <c r="M89" s="60">
        <f t="shared" si="17"/>
        <v>7447961.456</v>
      </c>
      <c r="N89" s="60">
        <f t="shared" si="17"/>
        <v>7708640.107</v>
      </c>
      <c r="O89" s="60">
        <f t="shared" si="17"/>
        <v>7978442.511</v>
      </c>
      <c r="P89" s="60">
        <f t="shared" si="17"/>
        <v>8257687.999</v>
      </c>
      <c r="Q89" s="60">
        <f t="shared" si="17"/>
        <v>8546707.079</v>
      </c>
      <c r="R89" s="60">
        <f t="shared" si="17"/>
        <v>8845841.826</v>
      </c>
      <c r="S89" s="60">
        <f t="shared" si="17"/>
        <v>9155446.29</v>
      </c>
      <c r="T89" s="60">
        <f t="shared" si="17"/>
        <v>9475886.91</v>
      </c>
      <c r="U89" s="60">
        <f t="shared" si="17"/>
        <v>9807542.952</v>
      </c>
      <c r="V89" s="60">
        <f t="shared" si="17"/>
        <v>10150806.96</v>
      </c>
      <c r="W89" s="60">
        <f t="shared" si="17"/>
        <v>10506085.2</v>
      </c>
      <c r="X89" s="60">
        <f t="shared" si="17"/>
        <v>10873798.18</v>
      </c>
      <c r="Y89" s="60">
        <f t="shared" si="17"/>
        <v>11254381.12</v>
      </c>
      <c r="Z89" s="60">
        <f t="shared" si="17"/>
        <v>11648284.46</v>
      </c>
      <c r="AA89" s="60">
        <f t="shared" si="17"/>
        <v>12055974.41</v>
      </c>
      <c r="AB89" s="60">
        <f t="shared" si="17"/>
        <v>12477933.52</v>
      </c>
      <c r="AC89" s="60">
        <f t="shared" si="17"/>
        <v>12914661.19</v>
      </c>
      <c r="AD89" s="60">
        <f t="shared" si="17"/>
        <v>13366674.33</v>
      </c>
      <c r="AE89" s="60">
        <f t="shared" si="17"/>
        <v>13834507.93</v>
      </c>
      <c r="AF89" s="60">
        <f t="shared" si="17"/>
        <v>14318715.71</v>
      </c>
      <c r="AG89" s="60">
        <f t="shared" si="17"/>
        <v>14819870.76</v>
      </c>
    </row>
    <row r="90" hidden="1" outlineLevel="1"/>
    <row r="91" hidden="1" outlineLevel="1">
      <c r="B91" s="1" t="s">
        <v>111</v>
      </c>
      <c r="C91" s="67">
        <f t="shared" ref="C91:AG91" si="18">C74+C82-(C87+C89)</f>
        <v>5897573.5</v>
      </c>
      <c r="D91" s="68">
        <f t="shared" si="18"/>
        <v>-8624716.261</v>
      </c>
      <c r="E91" s="68">
        <f t="shared" si="18"/>
        <v>-8503812.661</v>
      </c>
      <c r="F91" s="68">
        <f t="shared" si="18"/>
        <v>11709371.15</v>
      </c>
      <c r="G91" s="68">
        <f t="shared" si="18"/>
        <v>-1770057.642</v>
      </c>
      <c r="H91" s="68">
        <f t="shared" si="18"/>
        <v>-1636009.66</v>
      </c>
      <c r="I91" s="68">
        <f t="shared" si="18"/>
        <v>-1497269.998</v>
      </c>
      <c r="J91" s="68">
        <f t="shared" si="18"/>
        <v>-1353674.448</v>
      </c>
      <c r="K91" s="68">
        <f t="shared" si="18"/>
        <v>-1205053.054</v>
      </c>
      <c r="L91" s="68">
        <f t="shared" si="18"/>
        <v>-1051229.911</v>
      </c>
      <c r="M91" s="68">
        <f t="shared" si="18"/>
        <v>-892022.9574</v>
      </c>
      <c r="N91" s="68">
        <f t="shared" si="18"/>
        <v>-727243.7609</v>
      </c>
      <c r="O91" s="68">
        <f t="shared" si="18"/>
        <v>-556697.2926</v>
      </c>
      <c r="P91" s="68">
        <f t="shared" si="18"/>
        <v>-380181.6978</v>
      </c>
      <c r="Q91" s="68">
        <f t="shared" si="18"/>
        <v>-197488.0572</v>
      </c>
      <c r="R91" s="68">
        <f t="shared" si="18"/>
        <v>-8400.139226</v>
      </c>
      <c r="S91" s="68">
        <f t="shared" si="18"/>
        <v>187305.8559</v>
      </c>
      <c r="T91" s="68">
        <f t="shared" si="18"/>
        <v>389861.5609</v>
      </c>
      <c r="U91" s="68">
        <f t="shared" si="18"/>
        <v>599506.7155</v>
      </c>
      <c r="V91" s="68">
        <f t="shared" si="18"/>
        <v>816489.4505</v>
      </c>
      <c r="W91" s="68">
        <f t="shared" si="18"/>
        <v>1041066.581</v>
      </c>
      <c r="X91" s="68">
        <f t="shared" si="18"/>
        <v>1273503.912</v>
      </c>
      <c r="Y91" s="68">
        <f t="shared" si="18"/>
        <v>1514076.549</v>
      </c>
      <c r="Z91" s="68">
        <f t="shared" si="18"/>
        <v>1763069.228</v>
      </c>
      <c r="AA91" s="68">
        <f t="shared" si="18"/>
        <v>2020776.651</v>
      </c>
      <c r="AB91" s="68">
        <f t="shared" si="18"/>
        <v>2287503.833</v>
      </c>
      <c r="AC91" s="68">
        <f t="shared" si="18"/>
        <v>2563566.468</v>
      </c>
      <c r="AD91" s="68">
        <f t="shared" si="18"/>
        <v>2849291.294</v>
      </c>
      <c r="AE91" s="68">
        <f t="shared" si="18"/>
        <v>3145016.489</v>
      </c>
      <c r="AF91" s="68">
        <f t="shared" si="18"/>
        <v>3451092.066</v>
      </c>
      <c r="AG91" s="68">
        <f t="shared" si="18"/>
        <v>3767880.289</v>
      </c>
    </row>
    <row r="92" hidden="1" outlineLevel="1">
      <c r="B92" s="1" t="s">
        <v>112</v>
      </c>
      <c r="C92" s="60">
        <f t="shared" ref="C92:AG92" si="19">C91*C66</f>
        <v>5897573.5</v>
      </c>
      <c r="D92" s="61">
        <f t="shared" si="19"/>
        <v>-7374132.403</v>
      </c>
      <c r="E92" s="61">
        <f t="shared" si="19"/>
        <v>-6216499.65</v>
      </c>
      <c r="F92" s="61">
        <f t="shared" si="19"/>
        <v>7318665.803</v>
      </c>
      <c r="G92" s="61">
        <f t="shared" si="19"/>
        <v>-945914.4686</v>
      </c>
      <c r="H92" s="61">
        <f t="shared" si="19"/>
        <v>-747509.0196</v>
      </c>
      <c r="I92" s="61">
        <f t="shared" si="19"/>
        <v>-584920.4572</v>
      </c>
      <c r="J92" s="61">
        <f t="shared" si="19"/>
        <v>-452144.273</v>
      </c>
      <c r="K92" s="61">
        <f t="shared" si="19"/>
        <v>-344139.9454</v>
      </c>
      <c r="L92" s="61">
        <f t="shared" si="19"/>
        <v>-256680.4204</v>
      </c>
      <c r="M92" s="61">
        <f t="shared" si="19"/>
        <v>-186224.6553</v>
      </c>
      <c r="N92" s="61">
        <f t="shared" si="19"/>
        <v>-129809.7358</v>
      </c>
      <c r="O92" s="61">
        <f t="shared" si="19"/>
        <v>-84959.60526</v>
      </c>
      <c r="P92" s="61">
        <f t="shared" si="19"/>
        <v>-49607.88337</v>
      </c>
      <c r="Q92" s="61">
        <f t="shared" si="19"/>
        <v>-22032.63519</v>
      </c>
      <c r="R92" s="61">
        <f t="shared" si="19"/>
        <v>-801.2687497</v>
      </c>
      <c r="S92" s="61">
        <f t="shared" si="19"/>
        <v>15275.98386</v>
      </c>
      <c r="T92" s="61">
        <f t="shared" si="19"/>
        <v>27185.31487</v>
      </c>
      <c r="U92" s="61">
        <f t="shared" si="19"/>
        <v>35742.43346</v>
      </c>
      <c r="V92" s="61">
        <f t="shared" si="19"/>
        <v>41620.44867</v>
      </c>
      <c r="W92" s="61">
        <f t="shared" si="19"/>
        <v>45373.3453</v>
      </c>
      <c r="X92" s="61">
        <f t="shared" si="19"/>
        <v>47455.73373</v>
      </c>
      <c r="Y92" s="61">
        <f t="shared" si="19"/>
        <v>48239.45102</v>
      </c>
      <c r="Z92" s="61">
        <f t="shared" si="19"/>
        <v>48027.5026</v>
      </c>
      <c r="AA92" s="61">
        <f t="shared" si="19"/>
        <v>47065.75921</v>
      </c>
      <c r="AB92" s="61">
        <f t="shared" si="19"/>
        <v>45552.76033</v>
      </c>
      <c r="AC92" s="61">
        <f t="shared" si="19"/>
        <v>43647.92126</v>
      </c>
      <c r="AD92" s="61">
        <f t="shared" si="19"/>
        <v>41478.39554</v>
      </c>
      <c r="AE92" s="61">
        <f t="shared" si="19"/>
        <v>39144.80547</v>
      </c>
      <c r="AF92" s="61">
        <f t="shared" si="19"/>
        <v>36726.02051</v>
      </c>
      <c r="AG92" s="61">
        <f t="shared" si="19"/>
        <v>34283.13572</v>
      </c>
    </row>
    <row r="93" hidden="1" outlineLevel="1"/>
    <row r="94" hidden="1" outlineLevel="1">
      <c r="B94" s="69" t="s">
        <v>113</v>
      </c>
      <c r="C94" s="70">
        <f t="array" ref="C94">NPV(C11,C91:AG91)</f>
        <v>-3237342.526</v>
      </c>
    </row>
    <row r="95" hidden="1" outlineLevel="1">
      <c r="B95" s="5" t="s">
        <v>114</v>
      </c>
      <c r="C95" s="63">
        <f>F69</f>
        <v>7150000</v>
      </c>
    </row>
    <row r="96" hidden="1" outlineLevel="1">
      <c r="C96" s="59"/>
    </row>
    <row r="97" hidden="1" outlineLevel="1"/>
    <row r="98" hidden="1" outlineLevel="1"/>
    <row r="99">
      <c r="B99" s="1"/>
      <c r="C99" s="71"/>
    </row>
    <row r="100" collapsed="1">
      <c r="B100" s="6" t="s">
        <v>115</v>
      </c>
      <c r="C100" s="10">
        <f>C131</f>
        <v>64432187.15</v>
      </c>
    </row>
    <row r="101" hidden="1" outlineLevel="1">
      <c r="B101" s="5" t="s">
        <v>116</v>
      </c>
    </row>
    <row r="102" hidden="1" outlineLevel="1"/>
    <row r="103" hidden="1" outlineLevel="1">
      <c r="B103" s="1" t="s">
        <v>89</v>
      </c>
      <c r="C103" s="1">
        <v>0.0</v>
      </c>
      <c r="D103" s="71">
        <f t="shared" ref="D103:AG103" si="20">C103+1</f>
        <v>1</v>
      </c>
      <c r="E103" s="71">
        <f t="shared" si="20"/>
        <v>2</v>
      </c>
      <c r="F103" s="71">
        <f t="shared" si="20"/>
        <v>3</v>
      </c>
      <c r="G103" s="71">
        <f t="shared" si="20"/>
        <v>4</v>
      </c>
      <c r="H103" s="71">
        <f t="shared" si="20"/>
        <v>5</v>
      </c>
      <c r="I103" s="71">
        <f t="shared" si="20"/>
        <v>6</v>
      </c>
      <c r="J103" s="71">
        <f t="shared" si="20"/>
        <v>7</v>
      </c>
      <c r="K103" s="71">
        <f t="shared" si="20"/>
        <v>8</v>
      </c>
      <c r="L103" s="71">
        <f t="shared" si="20"/>
        <v>9</v>
      </c>
      <c r="M103" s="71">
        <f t="shared" si="20"/>
        <v>10</v>
      </c>
      <c r="N103" s="71">
        <f t="shared" si="20"/>
        <v>11</v>
      </c>
      <c r="O103" s="71">
        <f t="shared" si="20"/>
        <v>12</v>
      </c>
      <c r="P103" s="71">
        <f t="shared" si="20"/>
        <v>13</v>
      </c>
      <c r="Q103" s="71">
        <f t="shared" si="20"/>
        <v>14</v>
      </c>
      <c r="R103" s="71">
        <f t="shared" si="20"/>
        <v>15</v>
      </c>
      <c r="S103" s="71">
        <f t="shared" si="20"/>
        <v>16</v>
      </c>
      <c r="T103" s="71">
        <f t="shared" si="20"/>
        <v>17</v>
      </c>
      <c r="U103" s="71">
        <f t="shared" si="20"/>
        <v>18</v>
      </c>
      <c r="V103" s="71">
        <f t="shared" si="20"/>
        <v>19</v>
      </c>
      <c r="W103" s="71">
        <f t="shared" si="20"/>
        <v>20</v>
      </c>
      <c r="X103" s="71">
        <f t="shared" si="20"/>
        <v>21</v>
      </c>
      <c r="Y103" s="71">
        <f t="shared" si="20"/>
        <v>22</v>
      </c>
      <c r="Z103" s="71">
        <f t="shared" si="20"/>
        <v>23</v>
      </c>
      <c r="AA103" s="71">
        <f t="shared" si="20"/>
        <v>24</v>
      </c>
      <c r="AB103" s="71">
        <f t="shared" si="20"/>
        <v>25</v>
      </c>
      <c r="AC103" s="71">
        <f t="shared" si="20"/>
        <v>26</v>
      </c>
      <c r="AD103" s="71">
        <f t="shared" si="20"/>
        <v>27</v>
      </c>
      <c r="AE103" s="71">
        <f t="shared" si="20"/>
        <v>28</v>
      </c>
      <c r="AF103" s="71">
        <f t="shared" si="20"/>
        <v>29</v>
      </c>
      <c r="AG103" s="71">
        <f t="shared" si="20"/>
        <v>30</v>
      </c>
    </row>
    <row r="104" hidden="1" outlineLevel="1">
      <c r="B104" s="1" t="s">
        <v>90</v>
      </c>
      <c r="C104" s="5">
        <v>2022.0</v>
      </c>
      <c r="D104" s="72">
        <f t="shared" ref="D104:AG104" si="21">C104+1</f>
        <v>2023</v>
      </c>
      <c r="E104" s="72">
        <f t="shared" si="21"/>
        <v>2024</v>
      </c>
      <c r="F104" s="72">
        <f t="shared" si="21"/>
        <v>2025</v>
      </c>
      <c r="G104" s="72">
        <f t="shared" si="21"/>
        <v>2026</v>
      </c>
      <c r="H104" s="72">
        <f t="shared" si="21"/>
        <v>2027</v>
      </c>
      <c r="I104" s="72">
        <f t="shared" si="21"/>
        <v>2028</v>
      </c>
      <c r="J104" s="72">
        <f t="shared" si="21"/>
        <v>2029</v>
      </c>
      <c r="K104" s="72">
        <f t="shared" si="21"/>
        <v>2030</v>
      </c>
      <c r="L104" s="72">
        <f t="shared" si="21"/>
        <v>2031</v>
      </c>
      <c r="M104" s="72">
        <f t="shared" si="21"/>
        <v>2032</v>
      </c>
      <c r="N104" s="72">
        <f t="shared" si="21"/>
        <v>2033</v>
      </c>
      <c r="O104" s="72">
        <f t="shared" si="21"/>
        <v>2034</v>
      </c>
      <c r="P104" s="72">
        <f t="shared" si="21"/>
        <v>2035</v>
      </c>
      <c r="Q104" s="72">
        <f t="shared" si="21"/>
        <v>2036</v>
      </c>
      <c r="R104" s="72">
        <f t="shared" si="21"/>
        <v>2037</v>
      </c>
      <c r="S104" s="72">
        <f t="shared" si="21"/>
        <v>2038</v>
      </c>
      <c r="T104" s="72">
        <f t="shared" si="21"/>
        <v>2039</v>
      </c>
      <c r="U104" s="72">
        <f t="shared" si="21"/>
        <v>2040</v>
      </c>
      <c r="V104" s="72">
        <f t="shared" si="21"/>
        <v>2041</v>
      </c>
      <c r="W104" s="72">
        <f t="shared" si="21"/>
        <v>2042</v>
      </c>
      <c r="X104" s="72">
        <f t="shared" si="21"/>
        <v>2043</v>
      </c>
      <c r="Y104" s="72">
        <f t="shared" si="21"/>
        <v>2044</v>
      </c>
      <c r="Z104" s="72">
        <f t="shared" si="21"/>
        <v>2045</v>
      </c>
      <c r="AA104" s="72">
        <f t="shared" si="21"/>
        <v>2046</v>
      </c>
      <c r="AB104" s="72">
        <f t="shared" si="21"/>
        <v>2047</v>
      </c>
      <c r="AC104" s="72">
        <f t="shared" si="21"/>
        <v>2048</v>
      </c>
      <c r="AD104" s="72">
        <f t="shared" si="21"/>
        <v>2049</v>
      </c>
      <c r="AE104" s="72">
        <f t="shared" si="21"/>
        <v>2050</v>
      </c>
      <c r="AF104" s="72">
        <f t="shared" si="21"/>
        <v>2051</v>
      </c>
      <c r="AG104" s="72">
        <f t="shared" si="21"/>
        <v>2052</v>
      </c>
    </row>
    <row r="105" hidden="1" outlineLevel="1">
      <c r="B105" s="1" t="s">
        <v>91</v>
      </c>
      <c r="C105" s="73">
        <f t="shared" ref="C105:AG105" si="22">(1-$C$11)^C103</f>
        <v>1</v>
      </c>
      <c r="D105" s="73">
        <f t="shared" si="22"/>
        <v>0.855</v>
      </c>
      <c r="E105" s="73">
        <f t="shared" si="22"/>
        <v>0.731025</v>
      </c>
      <c r="F105" s="73">
        <f t="shared" si="22"/>
        <v>0.625026375</v>
      </c>
      <c r="G105" s="73">
        <f t="shared" si="22"/>
        <v>0.5343975506</v>
      </c>
      <c r="H105" s="73">
        <f t="shared" si="22"/>
        <v>0.4569099058</v>
      </c>
      <c r="I105" s="73">
        <f t="shared" si="22"/>
        <v>0.3906579694</v>
      </c>
      <c r="J105" s="73">
        <f t="shared" si="22"/>
        <v>0.3340125639</v>
      </c>
      <c r="K105" s="73">
        <f t="shared" si="22"/>
        <v>0.2855807421</v>
      </c>
      <c r="L105" s="73">
        <f t="shared" si="22"/>
        <v>0.2441715345</v>
      </c>
      <c r="M105" s="73">
        <f t="shared" si="22"/>
        <v>0.208766662</v>
      </c>
      <c r="N105" s="73">
        <f t="shared" si="22"/>
        <v>0.178495496</v>
      </c>
      <c r="O105" s="73">
        <f t="shared" si="22"/>
        <v>0.1526136491</v>
      </c>
      <c r="P105" s="73">
        <f t="shared" si="22"/>
        <v>0.13048467</v>
      </c>
      <c r="Q105" s="73">
        <f t="shared" si="22"/>
        <v>0.1115643928</v>
      </c>
      <c r="R105" s="73">
        <f t="shared" si="22"/>
        <v>0.09538755587</v>
      </c>
      <c r="S105" s="73">
        <f t="shared" si="22"/>
        <v>0.08155636027</v>
      </c>
      <c r="T105" s="73">
        <f t="shared" si="22"/>
        <v>0.06973068803</v>
      </c>
      <c r="U105" s="73">
        <f t="shared" si="22"/>
        <v>0.05961973826</v>
      </c>
      <c r="V105" s="73">
        <f t="shared" si="22"/>
        <v>0.05097487622</v>
      </c>
      <c r="W105" s="73">
        <f t="shared" si="22"/>
        <v>0.04358351916</v>
      </c>
      <c r="X105" s="73">
        <f t="shared" si="22"/>
        <v>0.03726390889</v>
      </c>
      <c r="Y105" s="73">
        <f t="shared" si="22"/>
        <v>0.0318606421</v>
      </c>
      <c r="Z105" s="73">
        <f t="shared" si="22"/>
        <v>0.02724084899</v>
      </c>
      <c r="AA105" s="73">
        <f t="shared" si="22"/>
        <v>0.02329092589</v>
      </c>
      <c r="AB105" s="73">
        <f t="shared" si="22"/>
        <v>0.01991374164</v>
      </c>
      <c r="AC105" s="73">
        <f t="shared" si="22"/>
        <v>0.0170262491</v>
      </c>
      <c r="AD105" s="73">
        <f t="shared" si="22"/>
        <v>0.01455744298</v>
      </c>
      <c r="AE105" s="73">
        <f t="shared" si="22"/>
        <v>0.01244661375</v>
      </c>
      <c r="AF105" s="73">
        <f t="shared" si="22"/>
        <v>0.01064185475</v>
      </c>
      <c r="AG105" s="73">
        <f t="shared" si="22"/>
        <v>0.009098785814</v>
      </c>
    </row>
    <row r="106" hidden="1" outlineLevel="1"/>
    <row r="107" hidden="1" outlineLevel="1">
      <c r="B107" s="1" t="s">
        <v>117</v>
      </c>
    </row>
    <row r="108" hidden="1" outlineLevel="1">
      <c r="B108" s="5" t="s">
        <v>118</v>
      </c>
      <c r="D108" s="59">
        <v>-400000.0</v>
      </c>
      <c r="E108" s="59">
        <v>-400000.0</v>
      </c>
      <c r="F108" s="59">
        <v>-400000.0</v>
      </c>
      <c r="G108" s="59">
        <v>-400000.0</v>
      </c>
      <c r="H108" s="59">
        <v>-400000.0</v>
      </c>
      <c r="I108" s="59">
        <v>-400000.0</v>
      </c>
      <c r="J108" s="59">
        <v>-400000.0</v>
      </c>
      <c r="K108" s="59">
        <v>-400000.0</v>
      </c>
      <c r="L108" s="59">
        <v>-400000.0</v>
      </c>
      <c r="M108" s="59">
        <v>-400000.0</v>
      </c>
      <c r="N108" s="59">
        <v>-400000.0</v>
      </c>
      <c r="O108" s="59">
        <v>-400000.0</v>
      </c>
      <c r="P108" s="59">
        <v>-400000.0</v>
      </c>
      <c r="Q108" s="59">
        <v>-400000.0</v>
      </c>
      <c r="R108" s="59">
        <v>-400000.0</v>
      </c>
      <c r="S108" s="57">
        <v>-1000.0</v>
      </c>
      <c r="T108" s="57">
        <v>-1000.0</v>
      </c>
      <c r="U108" s="57">
        <v>-1000.0</v>
      </c>
      <c r="V108" s="59">
        <v>0.0</v>
      </c>
      <c r="W108" s="59">
        <v>0.0</v>
      </c>
    </row>
    <row r="109" hidden="1" outlineLevel="1">
      <c r="B109" s="5" t="s">
        <v>119</v>
      </c>
      <c r="E109" s="58"/>
      <c r="V109" s="60">
        <f>830*(1+C45)^(V103-1)*$C$42</f>
        <v>20152554.55</v>
      </c>
    </row>
    <row r="110" hidden="1" outlineLevel="1">
      <c r="B110" s="5" t="s">
        <v>120</v>
      </c>
      <c r="E110" s="58"/>
      <c r="V110" s="59">
        <f>60*C43*(1+C52)^V103</f>
        <v>59272340.93</v>
      </c>
    </row>
    <row r="111" hidden="1" outlineLevel="1">
      <c r="B111" s="5" t="s">
        <v>121</v>
      </c>
      <c r="G111" s="74"/>
      <c r="H111" s="74"/>
      <c r="I111" s="74"/>
      <c r="J111" s="74"/>
      <c r="V111" s="60">
        <f>$C$55*$C$56*(1+C58)^V103</f>
        <v>31622708.04</v>
      </c>
    </row>
    <row r="112" hidden="1" outlineLevel="1">
      <c r="B112" s="5"/>
      <c r="E112" s="75"/>
    </row>
    <row r="113" hidden="1" outlineLevel="1">
      <c r="B113" s="1" t="s">
        <v>122</v>
      </c>
      <c r="E113" s="75"/>
    </row>
    <row r="114" hidden="1" outlineLevel="1">
      <c r="B114" s="5" t="s">
        <v>123</v>
      </c>
      <c r="E114" s="75"/>
      <c r="S114" s="60">
        <f>($C$14/3)*(1+$C$30)^S$103</f>
        <v>-7330887.802</v>
      </c>
      <c r="T114" s="60">
        <f t="shared" ref="T114:U114" si="23">($C$14/3)*(1+$C$30)^T103</f>
        <v>-7587468.875</v>
      </c>
      <c r="U114" s="60">
        <f t="shared" si="23"/>
        <v>-7853030.285</v>
      </c>
    </row>
    <row r="115" hidden="1" outlineLevel="1">
      <c r="B115" s="5" t="s">
        <v>124</v>
      </c>
      <c r="E115" s="75"/>
      <c r="S115" s="60">
        <f>$C$15/3*(1+$C$30)^S$103</f>
        <v>-5174865.744</v>
      </c>
      <c r="T115" s="60">
        <f>$C$15/3*(1+$C$30)^S$103</f>
        <v>-5174865.744</v>
      </c>
      <c r="U115" s="60">
        <f>$C$15/3*(1+$C$30)^S$103</f>
        <v>-5174865.744</v>
      </c>
    </row>
    <row r="116" hidden="1" outlineLevel="1">
      <c r="B116" s="5" t="s">
        <v>125</v>
      </c>
      <c r="D116" s="60">
        <f t="shared" ref="D116:E116" si="24">$C$16/2</f>
        <v>-204683</v>
      </c>
      <c r="E116" s="60">
        <f t="shared" si="24"/>
        <v>-204683</v>
      </c>
    </row>
    <row r="117" hidden="1" outlineLevel="1">
      <c r="B117" s="1" t="s">
        <v>126</v>
      </c>
      <c r="D117" s="63">
        <f t="shared" ref="D117:W117" si="25">SUM(D108:D116)</f>
        <v>-604683</v>
      </c>
      <c r="E117" s="63">
        <f t="shared" si="25"/>
        <v>-604683</v>
      </c>
      <c r="F117" s="63">
        <f t="shared" si="25"/>
        <v>-400000</v>
      </c>
      <c r="G117" s="63">
        <f t="shared" si="25"/>
        <v>-400000</v>
      </c>
      <c r="H117" s="63">
        <f t="shared" si="25"/>
        <v>-400000</v>
      </c>
      <c r="I117" s="63">
        <f t="shared" si="25"/>
        <v>-400000</v>
      </c>
      <c r="J117" s="63">
        <f t="shared" si="25"/>
        <v>-400000</v>
      </c>
      <c r="K117" s="63">
        <f t="shared" si="25"/>
        <v>-400000</v>
      </c>
      <c r="L117" s="63">
        <f t="shared" si="25"/>
        <v>-400000</v>
      </c>
      <c r="M117" s="63">
        <f t="shared" si="25"/>
        <v>-400000</v>
      </c>
      <c r="N117" s="63">
        <f t="shared" si="25"/>
        <v>-400000</v>
      </c>
      <c r="O117" s="63">
        <f t="shared" si="25"/>
        <v>-400000</v>
      </c>
      <c r="P117" s="63">
        <f t="shared" si="25"/>
        <v>-400000</v>
      </c>
      <c r="Q117" s="63">
        <f t="shared" si="25"/>
        <v>-400000</v>
      </c>
      <c r="R117" s="63">
        <f t="shared" si="25"/>
        <v>-400000</v>
      </c>
      <c r="S117" s="63">
        <f t="shared" si="25"/>
        <v>-12506753.55</v>
      </c>
      <c r="T117" s="63">
        <f t="shared" si="25"/>
        <v>-12763334.62</v>
      </c>
      <c r="U117" s="63">
        <f t="shared" si="25"/>
        <v>-13028896.03</v>
      </c>
      <c r="V117" s="63">
        <f t="shared" si="25"/>
        <v>111047603.5</v>
      </c>
      <c r="W117" s="63">
        <f t="shared" si="25"/>
        <v>0</v>
      </c>
    </row>
    <row r="118" hidden="1" outlineLevel="1"/>
    <row r="119" hidden="1" outlineLevel="1">
      <c r="B119" s="1" t="s">
        <v>99</v>
      </c>
    </row>
    <row r="120" hidden="1" outlineLevel="1">
      <c r="B120" s="5" t="s">
        <v>127</v>
      </c>
      <c r="C120" s="62">
        <f>C25</f>
        <v>338475</v>
      </c>
      <c r="D120" s="62">
        <f t="shared" ref="D120:R120" si="26">C120</f>
        <v>338475</v>
      </c>
      <c r="E120" s="62">
        <f t="shared" si="26"/>
        <v>338475</v>
      </c>
      <c r="F120" s="62">
        <f t="shared" si="26"/>
        <v>338475</v>
      </c>
      <c r="G120" s="62">
        <f t="shared" si="26"/>
        <v>338475</v>
      </c>
      <c r="H120" s="62">
        <f t="shared" si="26"/>
        <v>338475</v>
      </c>
      <c r="I120" s="62">
        <f t="shared" si="26"/>
        <v>338475</v>
      </c>
      <c r="J120" s="62">
        <f t="shared" si="26"/>
        <v>338475</v>
      </c>
      <c r="K120" s="62">
        <f t="shared" si="26"/>
        <v>338475</v>
      </c>
      <c r="L120" s="62">
        <f t="shared" si="26"/>
        <v>338475</v>
      </c>
      <c r="M120" s="62">
        <f t="shared" si="26"/>
        <v>338475</v>
      </c>
      <c r="N120" s="62">
        <f t="shared" si="26"/>
        <v>338475</v>
      </c>
      <c r="O120" s="62">
        <f t="shared" si="26"/>
        <v>338475</v>
      </c>
      <c r="P120" s="62">
        <f t="shared" si="26"/>
        <v>338475</v>
      </c>
      <c r="Q120" s="62">
        <f t="shared" si="26"/>
        <v>338475</v>
      </c>
      <c r="R120" s="62">
        <f t="shared" si="26"/>
        <v>338475</v>
      </c>
      <c r="S120" s="5">
        <v>0.0</v>
      </c>
      <c r="T120" s="5">
        <v>0.0</v>
      </c>
      <c r="U120" s="5">
        <v>0.0</v>
      </c>
      <c r="V120" s="5">
        <v>0.0</v>
      </c>
      <c r="W120" s="5">
        <v>0.0</v>
      </c>
    </row>
    <row r="121" hidden="1" outlineLevel="1">
      <c r="B121" s="5" t="s">
        <v>128</v>
      </c>
      <c r="C121" s="63">
        <f>C29</f>
        <v>134</v>
      </c>
      <c r="D121" s="63">
        <f t="shared" ref="D121:W121" si="27">C121*(1+$C$30)</f>
        <v>138.69</v>
      </c>
      <c r="E121" s="63">
        <f t="shared" si="27"/>
        <v>143.54415</v>
      </c>
      <c r="F121" s="63">
        <f t="shared" si="27"/>
        <v>148.5681953</v>
      </c>
      <c r="G121" s="63">
        <f t="shared" si="27"/>
        <v>153.7680821</v>
      </c>
      <c r="H121" s="63">
        <f t="shared" si="27"/>
        <v>159.149965</v>
      </c>
      <c r="I121" s="63">
        <f t="shared" si="27"/>
        <v>164.7202137</v>
      </c>
      <c r="J121" s="63">
        <f t="shared" si="27"/>
        <v>170.4854212</v>
      </c>
      <c r="K121" s="63">
        <f t="shared" si="27"/>
        <v>176.452411</v>
      </c>
      <c r="L121" s="63">
        <f t="shared" si="27"/>
        <v>182.6282453</v>
      </c>
      <c r="M121" s="63">
        <f t="shared" si="27"/>
        <v>189.0202339</v>
      </c>
      <c r="N121" s="63">
        <f t="shared" si="27"/>
        <v>195.6359421</v>
      </c>
      <c r="O121" s="63">
        <f t="shared" si="27"/>
        <v>202.4832001</v>
      </c>
      <c r="P121" s="63">
        <f t="shared" si="27"/>
        <v>209.5701121</v>
      </c>
      <c r="Q121" s="63">
        <f t="shared" si="27"/>
        <v>216.905066</v>
      </c>
      <c r="R121" s="63">
        <f t="shared" si="27"/>
        <v>224.4967433</v>
      </c>
      <c r="S121" s="63">
        <f t="shared" si="27"/>
        <v>232.3541293</v>
      </c>
      <c r="T121" s="63">
        <f t="shared" si="27"/>
        <v>240.4865239</v>
      </c>
      <c r="U121" s="63">
        <f t="shared" si="27"/>
        <v>248.9035522</v>
      </c>
      <c r="V121" s="63">
        <f t="shared" si="27"/>
        <v>257.6151765</v>
      </c>
      <c r="W121" s="63">
        <f t="shared" si="27"/>
        <v>266.6317077</v>
      </c>
    </row>
    <row r="122" hidden="1" outlineLevel="1">
      <c r="B122" s="5" t="s">
        <v>129</v>
      </c>
      <c r="C122" s="60">
        <f t="shared" ref="C122:W122" si="28">C120*C121</f>
        <v>45355650</v>
      </c>
      <c r="D122" s="60">
        <f t="shared" si="28"/>
        <v>46943097.75</v>
      </c>
      <c r="E122" s="60">
        <f t="shared" si="28"/>
        <v>48586106.17</v>
      </c>
      <c r="F122" s="60">
        <f t="shared" si="28"/>
        <v>50286619.89</v>
      </c>
      <c r="G122" s="60">
        <f t="shared" si="28"/>
        <v>52046651.58</v>
      </c>
      <c r="H122" s="60">
        <f t="shared" si="28"/>
        <v>53868284.39</v>
      </c>
      <c r="I122" s="60">
        <f t="shared" si="28"/>
        <v>55753674.34</v>
      </c>
      <c r="J122" s="60">
        <f t="shared" si="28"/>
        <v>57705052.94</v>
      </c>
      <c r="K122" s="60">
        <f t="shared" si="28"/>
        <v>59724729.8</v>
      </c>
      <c r="L122" s="60">
        <f t="shared" si="28"/>
        <v>61815095.34</v>
      </c>
      <c r="M122" s="60">
        <f t="shared" si="28"/>
        <v>63978623.68</v>
      </c>
      <c r="N122" s="60">
        <f t="shared" si="28"/>
        <v>66217875.51</v>
      </c>
      <c r="O122" s="60">
        <f t="shared" si="28"/>
        <v>68535501.15</v>
      </c>
      <c r="P122" s="60">
        <f t="shared" si="28"/>
        <v>70934243.69</v>
      </c>
      <c r="Q122" s="60">
        <f t="shared" si="28"/>
        <v>73416942.22</v>
      </c>
      <c r="R122" s="60">
        <f t="shared" si="28"/>
        <v>75986535.2</v>
      </c>
      <c r="S122" s="60">
        <f t="shared" si="28"/>
        <v>0</v>
      </c>
      <c r="T122" s="60">
        <f t="shared" si="28"/>
        <v>0</v>
      </c>
      <c r="U122" s="60">
        <f t="shared" si="28"/>
        <v>0</v>
      </c>
      <c r="V122" s="60">
        <f t="shared" si="28"/>
        <v>0</v>
      </c>
      <c r="W122" s="60">
        <f t="shared" si="28"/>
        <v>0</v>
      </c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</row>
    <row r="123" hidden="1" outlineLevel="1"/>
    <row r="124" hidden="1" outlineLevel="1">
      <c r="B124" s="1" t="s">
        <v>130</v>
      </c>
      <c r="C124" s="65">
        <f>$C$31</f>
        <v>0.19</v>
      </c>
      <c r="D124" s="65">
        <f t="shared" ref="D124:T124" si="29">C124</f>
        <v>0.19</v>
      </c>
      <c r="E124" s="65">
        <f t="shared" si="29"/>
        <v>0.19</v>
      </c>
      <c r="F124" s="65">
        <f t="shared" si="29"/>
        <v>0.19</v>
      </c>
      <c r="G124" s="65">
        <f t="shared" si="29"/>
        <v>0.19</v>
      </c>
      <c r="H124" s="65">
        <f t="shared" si="29"/>
        <v>0.19</v>
      </c>
      <c r="I124" s="65">
        <f t="shared" si="29"/>
        <v>0.19</v>
      </c>
      <c r="J124" s="65">
        <f t="shared" si="29"/>
        <v>0.19</v>
      </c>
      <c r="K124" s="65">
        <f t="shared" si="29"/>
        <v>0.19</v>
      </c>
      <c r="L124" s="65">
        <f t="shared" si="29"/>
        <v>0.19</v>
      </c>
      <c r="M124" s="65">
        <f t="shared" si="29"/>
        <v>0.19</v>
      </c>
      <c r="N124" s="65">
        <f t="shared" si="29"/>
        <v>0.19</v>
      </c>
      <c r="O124" s="65">
        <f t="shared" si="29"/>
        <v>0.19</v>
      </c>
      <c r="P124" s="65">
        <f t="shared" si="29"/>
        <v>0.19</v>
      </c>
      <c r="Q124" s="65">
        <f t="shared" si="29"/>
        <v>0.19</v>
      </c>
      <c r="R124" s="65">
        <f t="shared" si="29"/>
        <v>0.19</v>
      </c>
      <c r="S124" s="65">
        <f t="shared" si="29"/>
        <v>0.19</v>
      </c>
      <c r="T124" s="65">
        <f t="shared" si="29"/>
        <v>0.19</v>
      </c>
    </row>
    <row r="125" hidden="1" outlineLevel="1">
      <c r="B125" s="5" t="s">
        <v>104</v>
      </c>
      <c r="C125" s="60">
        <f t="shared" ref="C125:W125" si="30">C122*C124</f>
        <v>8617573.5</v>
      </c>
      <c r="D125" s="60">
        <f t="shared" si="30"/>
        <v>8919188.573</v>
      </c>
      <c r="E125" s="60">
        <f t="shared" si="30"/>
        <v>9231360.173</v>
      </c>
      <c r="F125" s="60">
        <f t="shared" si="30"/>
        <v>9554457.779</v>
      </c>
      <c r="G125" s="60">
        <f t="shared" si="30"/>
        <v>9888863.801</v>
      </c>
      <c r="H125" s="60">
        <f t="shared" si="30"/>
        <v>10234974.03</v>
      </c>
      <c r="I125" s="60">
        <f t="shared" si="30"/>
        <v>10593198.13</v>
      </c>
      <c r="J125" s="60">
        <f t="shared" si="30"/>
        <v>10963960.06</v>
      </c>
      <c r="K125" s="60">
        <f t="shared" si="30"/>
        <v>11347698.66</v>
      </c>
      <c r="L125" s="60">
        <f t="shared" si="30"/>
        <v>11744868.11</v>
      </c>
      <c r="M125" s="60">
        <f t="shared" si="30"/>
        <v>12155938.5</v>
      </c>
      <c r="N125" s="60">
        <f t="shared" si="30"/>
        <v>12581396.35</v>
      </c>
      <c r="O125" s="60">
        <f t="shared" si="30"/>
        <v>13021745.22</v>
      </c>
      <c r="P125" s="60">
        <f t="shared" si="30"/>
        <v>13477506.3</v>
      </c>
      <c r="Q125" s="60">
        <f t="shared" si="30"/>
        <v>13949219.02</v>
      </c>
      <c r="R125" s="60">
        <f t="shared" si="30"/>
        <v>14437441.69</v>
      </c>
      <c r="S125" s="60">
        <f t="shared" si="30"/>
        <v>0</v>
      </c>
      <c r="T125" s="60">
        <f t="shared" si="30"/>
        <v>0</v>
      </c>
      <c r="U125" s="60">
        <f t="shared" si="30"/>
        <v>0</v>
      </c>
      <c r="V125" s="60">
        <f t="shared" si="30"/>
        <v>0</v>
      </c>
      <c r="W125" s="60">
        <f t="shared" si="30"/>
        <v>0</v>
      </c>
    </row>
    <row r="126" hidden="1" outlineLevel="1">
      <c r="B126" s="1"/>
      <c r="C126" s="60"/>
    </row>
    <row r="127" hidden="1" outlineLevel="1"/>
    <row r="128" hidden="1" outlineLevel="1">
      <c r="B128" s="1" t="s">
        <v>111</v>
      </c>
      <c r="C128" s="60">
        <f t="shared" ref="C128:X128" si="31">C125+C117</f>
        <v>8617573.5</v>
      </c>
      <c r="D128" s="60">
        <f t="shared" si="31"/>
        <v>8314505.573</v>
      </c>
      <c r="E128" s="60">
        <f t="shared" si="31"/>
        <v>8626677.173</v>
      </c>
      <c r="F128" s="60">
        <f t="shared" si="31"/>
        <v>9154457.779</v>
      </c>
      <c r="G128" s="60">
        <f t="shared" si="31"/>
        <v>9488863.801</v>
      </c>
      <c r="H128" s="60">
        <f t="shared" si="31"/>
        <v>9834974.034</v>
      </c>
      <c r="I128" s="60">
        <f t="shared" si="31"/>
        <v>10193198.13</v>
      </c>
      <c r="J128" s="60">
        <f t="shared" si="31"/>
        <v>10563960.06</v>
      </c>
      <c r="K128" s="60">
        <f t="shared" si="31"/>
        <v>10947698.66</v>
      </c>
      <c r="L128" s="60">
        <f t="shared" si="31"/>
        <v>11344868.11</v>
      </c>
      <c r="M128" s="60">
        <f t="shared" si="31"/>
        <v>11755938.5</v>
      </c>
      <c r="N128" s="60">
        <f t="shared" si="31"/>
        <v>12181396.35</v>
      </c>
      <c r="O128" s="60">
        <f t="shared" si="31"/>
        <v>12621745.22</v>
      </c>
      <c r="P128" s="60">
        <f t="shared" si="31"/>
        <v>13077506.3</v>
      </c>
      <c r="Q128" s="60">
        <f t="shared" si="31"/>
        <v>13549219.02</v>
      </c>
      <c r="R128" s="60">
        <f t="shared" si="31"/>
        <v>14037441.69</v>
      </c>
      <c r="S128" s="61">
        <f t="shared" si="31"/>
        <v>-12506753.55</v>
      </c>
      <c r="T128" s="61">
        <f t="shared" si="31"/>
        <v>-12763334.62</v>
      </c>
      <c r="U128" s="61">
        <f t="shared" si="31"/>
        <v>-13028896.03</v>
      </c>
      <c r="V128" s="61">
        <f t="shared" si="31"/>
        <v>111047603.5</v>
      </c>
      <c r="W128" s="61">
        <f t="shared" si="31"/>
        <v>0</v>
      </c>
      <c r="X128" s="61">
        <f t="shared" si="31"/>
        <v>0</v>
      </c>
    </row>
    <row r="129" hidden="1" outlineLevel="1">
      <c r="B129" s="1" t="s">
        <v>112</v>
      </c>
      <c r="C129" s="60">
        <f t="shared" ref="C129:X129" si="32">C128*C105</f>
        <v>8617573.5</v>
      </c>
      <c r="D129" s="60">
        <f t="shared" si="32"/>
        <v>7108902.264</v>
      </c>
      <c r="E129" s="60">
        <f t="shared" si="32"/>
        <v>6306316.68</v>
      </c>
      <c r="F129" s="60">
        <f t="shared" si="32"/>
        <v>5721777.56</v>
      </c>
      <c r="G129" s="60">
        <f t="shared" si="32"/>
        <v>5070825.573</v>
      </c>
      <c r="H129" s="60">
        <f t="shared" si="32"/>
        <v>4493697.059</v>
      </c>
      <c r="I129" s="60">
        <f t="shared" si="32"/>
        <v>3982054.082</v>
      </c>
      <c r="J129" s="60">
        <f t="shared" si="32"/>
        <v>3528495.384</v>
      </c>
      <c r="K129" s="60">
        <f t="shared" si="32"/>
        <v>3126451.908</v>
      </c>
      <c r="L129" s="60">
        <f t="shared" si="32"/>
        <v>2770093.856</v>
      </c>
      <c r="M129" s="60">
        <f t="shared" si="32"/>
        <v>2454248.039</v>
      </c>
      <c r="N129" s="60">
        <f t="shared" si="32"/>
        <v>2174324.383</v>
      </c>
      <c r="O129" s="60">
        <f t="shared" si="32"/>
        <v>1926250.596</v>
      </c>
      <c r="P129" s="60">
        <f t="shared" si="32"/>
        <v>1706414.094</v>
      </c>
      <c r="Q129" s="60">
        <f t="shared" si="32"/>
        <v>1511610.393</v>
      </c>
      <c r="R129" s="60">
        <f t="shared" si="32"/>
        <v>1338997.253</v>
      </c>
      <c r="S129" s="61">
        <f t="shared" si="32"/>
        <v>-1020005.298</v>
      </c>
      <c r="T129" s="61">
        <f t="shared" si="32"/>
        <v>-889996.1045</v>
      </c>
      <c r="U129" s="61">
        <f t="shared" si="32"/>
        <v>-776779.3711</v>
      </c>
      <c r="V129" s="61">
        <f t="shared" si="32"/>
        <v>5660637.844</v>
      </c>
      <c r="W129" s="61">
        <f t="shared" si="32"/>
        <v>0</v>
      </c>
      <c r="X129" s="61">
        <f t="shared" si="32"/>
        <v>0</v>
      </c>
    </row>
    <row r="130" hidden="1" outlineLevel="1"/>
    <row r="131" hidden="1" outlineLevel="1">
      <c r="B131" s="76" t="s">
        <v>113</v>
      </c>
      <c r="C131" s="77">
        <f t="array" ref="C131">NPV($C$11,C128:X128)</f>
        <v>64432187.15</v>
      </c>
    </row>
    <row r="132" hidden="1" outlineLevel="1">
      <c r="B132" s="5" t="s">
        <v>114</v>
      </c>
      <c r="C132" s="60">
        <f>SUM(C108:U108)+SUM(V109)</f>
        <v>14149554.55</v>
      </c>
    </row>
    <row r="133" hidden="1" outlineLevel="1"/>
    <row r="134">
      <c r="A134" s="74"/>
      <c r="B134" s="78"/>
      <c r="C134" s="79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</row>
    <row r="135" collapsed="1">
      <c r="A135" s="74"/>
      <c r="B135" s="80" t="s">
        <v>131</v>
      </c>
      <c r="C135" s="81">
        <f>C174</f>
        <v>40720123.78</v>
      </c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</row>
    <row r="136" ht="14.25" hidden="1" customHeight="1" outlineLevel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</row>
    <row r="137" hidden="1" outlineLevel="1">
      <c r="A137" s="74"/>
      <c r="B137" s="79" t="s">
        <v>89</v>
      </c>
      <c r="C137" s="82">
        <v>0.0</v>
      </c>
      <c r="D137" s="82">
        <f t="shared" ref="D137:AG137" si="33">C137+1</f>
        <v>1</v>
      </c>
      <c r="E137" s="82">
        <f t="shared" si="33"/>
        <v>2</v>
      </c>
      <c r="F137" s="82">
        <f t="shared" si="33"/>
        <v>3</v>
      </c>
      <c r="G137" s="82">
        <f t="shared" si="33"/>
        <v>4</v>
      </c>
      <c r="H137" s="82">
        <f t="shared" si="33"/>
        <v>5</v>
      </c>
      <c r="I137" s="82">
        <f t="shared" si="33"/>
        <v>6</v>
      </c>
      <c r="J137" s="82">
        <f t="shared" si="33"/>
        <v>7</v>
      </c>
      <c r="K137" s="82">
        <f t="shared" si="33"/>
        <v>8</v>
      </c>
      <c r="L137" s="82">
        <f t="shared" si="33"/>
        <v>9</v>
      </c>
      <c r="M137" s="82">
        <f t="shared" si="33"/>
        <v>10</v>
      </c>
      <c r="N137" s="82">
        <f t="shared" si="33"/>
        <v>11</v>
      </c>
      <c r="O137" s="82">
        <f t="shared" si="33"/>
        <v>12</v>
      </c>
      <c r="P137" s="82">
        <f t="shared" si="33"/>
        <v>13</v>
      </c>
      <c r="Q137" s="82">
        <f t="shared" si="33"/>
        <v>14</v>
      </c>
      <c r="R137" s="82">
        <f t="shared" si="33"/>
        <v>15</v>
      </c>
      <c r="S137" s="82">
        <f t="shared" si="33"/>
        <v>16</v>
      </c>
      <c r="T137" s="82">
        <f t="shared" si="33"/>
        <v>17</v>
      </c>
      <c r="U137" s="82">
        <f t="shared" si="33"/>
        <v>18</v>
      </c>
      <c r="V137" s="82">
        <f t="shared" si="33"/>
        <v>19</v>
      </c>
      <c r="W137" s="82">
        <f t="shared" si="33"/>
        <v>20</v>
      </c>
      <c r="X137" s="82">
        <f t="shared" si="33"/>
        <v>21</v>
      </c>
      <c r="Y137" s="82">
        <f t="shared" si="33"/>
        <v>22</v>
      </c>
      <c r="Z137" s="82">
        <f t="shared" si="33"/>
        <v>23</v>
      </c>
      <c r="AA137" s="82">
        <f t="shared" si="33"/>
        <v>24</v>
      </c>
      <c r="AB137" s="82">
        <f t="shared" si="33"/>
        <v>25</v>
      </c>
      <c r="AC137" s="82">
        <f t="shared" si="33"/>
        <v>26</v>
      </c>
      <c r="AD137" s="82">
        <f t="shared" si="33"/>
        <v>27</v>
      </c>
      <c r="AE137" s="82">
        <f t="shared" si="33"/>
        <v>28</v>
      </c>
      <c r="AF137" s="82">
        <f t="shared" si="33"/>
        <v>29</v>
      </c>
      <c r="AG137" s="82">
        <f t="shared" si="33"/>
        <v>30</v>
      </c>
    </row>
    <row r="138" hidden="1" outlineLevel="1">
      <c r="A138" s="74"/>
      <c r="B138" s="79" t="s">
        <v>90</v>
      </c>
      <c r="C138" s="83">
        <v>2022.0</v>
      </c>
      <c r="D138" s="83">
        <f t="shared" ref="D138:AG138" si="34">C138+1</f>
        <v>2023</v>
      </c>
      <c r="E138" s="83">
        <f t="shared" si="34"/>
        <v>2024</v>
      </c>
      <c r="F138" s="83">
        <f t="shared" si="34"/>
        <v>2025</v>
      </c>
      <c r="G138" s="83">
        <f t="shared" si="34"/>
        <v>2026</v>
      </c>
      <c r="H138" s="83">
        <f t="shared" si="34"/>
        <v>2027</v>
      </c>
      <c r="I138" s="83">
        <f t="shared" si="34"/>
        <v>2028</v>
      </c>
      <c r="J138" s="83">
        <f t="shared" si="34"/>
        <v>2029</v>
      </c>
      <c r="K138" s="83">
        <f t="shared" si="34"/>
        <v>2030</v>
      </c>
      <c r="L138" s="83">
        <f t="shared" si="34"/>
        <v>2031</v>
      </c>
      <c r="M138" s="83">
        <f t="shared" si="34"/>
        <v>2032</v>
      </c>
      <c r="N138" s="83">
        <f t="shared" si="34"/>
        <v>2033</v>
      </c>
      <c r="O138" s="83">
        <f t="shared" si="34"/>
        <v>2034</v>
      </c>
      <c r="P138" s="83">
        <f t="shared" si="34"/>
        <v>2035</v>
      </c>
      <c r="Q138" s="83">
        <f t="shared" si="34"/>
        <v>2036</v>
      </c>
      <c r="R138" s="83">
        <f t="shared" si="34"/>
        <v>2037</v>
      </c>
      <c r="S138" s="83">
        <f t="shared" si="34"/>
        <v>2038</v>
      </c>
      <c r="T138" s="83">
        <f t="shared" si="34"/>
        <v>2039</v>
      </c>
      <c r="U138" s="83">
        <f t="shared" si="34"/>
        <v>2040</v>
      </c>
      <c r="V138" s="83">
        <f t="shared" si="34"/>
        <v>2041</v>
      </c>
      <c r="W138" s="83">
        <f t="shared" si="34"/>
        <v>2042</v>
      </c>
      <c r="X138" s="83">
        <f t="shared" si="34"/>
        <v>2043</v>
      </c>
      <c r="Y138" s="83">
        <f t="shared" si="34"/>
        <v>2044</v>
      </c>
      <c r="Z138" s="83">
        <f t="shared" si="34"/>
        <v>2045</v>
      </c>
      <c r="AA138" s="83">
        <f t="shared" si="34"/>
        <v>2046</v>
      </c>
      <c r="AB138" s="83">
        <f t="shared" si="34"/>
        <v>2047</v>
      </c>
      <c r="AC138" s="83">
        <f t="shared" si="34"/>
        <v>2048</v>
      </c>
      <c r="AD138" s="83">
        <f t="shared" si="34"/>
        <v>2049</v>
      </c>
      <c r="AE138" s="83">
        <f t="shared" si="34"/>
        <v>2050</v>
      </c>
      <c r="AF138" s="83">
        <f t="shared" si="34"/>
        <v>2051</v>
      </c>
      <c r="AG138" s="83">
        <f t="shared" si="34"/>
        <v>2052</v>
      </c>
    </row>
    <row r="139" hidden="1" outlineLevel="1">
      <c r="A139" s="74"/>
      <c r="B139" s="79" t="s">
        <v>91</v>
      </c>
      <c r="C139" s="84">
        <f t="shared" ref="C139:AG139" si="35">(1-$C$11)^C137</f>
        <v>1</v>
      </c>
      <c r="D139" s="84">
        <f t="shared" si="35"/>
        <v>0.855</v>
      </c>
      <c r="E139" s="84">
        <f t="shared" si="35"/>
        <v>0.731025</v>
      </c>
      <c r="F139" s="84">
        <f t="shared" si="35"/>
        <v>0.625026375</v>
      </c>
      <c r="G139" s="84">
        <f t="shared" si="35"/>
        <v>0.5343975506</v>
      </c>
      <c r="H139" s="84">
        <f t="shared" si="35"/>
        <v>0.4569099058</v>
      </c>
      <c r="I139" s="84">
        <f t="shared" si="35"/>
        <v>0.3906579694</v>
      </c>
      <c r="J139" s="84">
        <f t="shared" si="35"/>
        <v>0.3340125639</v>
      </c>
      <c r="K139" s="84">
        <f t="shared" si="35"/>
        <v>0.2855807421</v>
      </c>
      <c r="L139" s="84">
        <f t="shared" si="35"/>
        <v>0.2441715345</v>
      </c>
      <c r="M139" s="84">
        <f t="shared" si="35"/>
        <v>0.208766662</v>
      </c>
      <c r="N139" s="84">
        <f t="shared" si="35"/>
        <v>0.178495496</v>
      </c>
      <c r="O139" s="84">
        <f t="shared" si="35"/>
        <v>0.1526136491</v>
      </c>
      <c r="P139" s="84">
        <f t="shared" si="35"/>
        <v>0.13048467</v>
      </c>
      <c r="Q139" s="84">
        <f t="shared" si="35"/>
        <v>0.1115643928</v>
      </c>
      <c r="R139" s="84">
        <f t="shared" si="35"/>
        <v>0.09538755587</v>
      </c>
      <c r="S139" s="84">
        <f t="shared" si="35"/>
        <v>0.08155636027</v>
      </c>
      <c r="T139" s="84">
        <f t="shared" si="35"/>
        <v>0.06973068803</v>
      </c>
      <c r="U139" s="84">
        <f t="shared" si="35"/>
        <v>0.05961973826</v>
      </c>
      <c r="V139" s="84">
        <f t="shared" si="35"/>
        <v>0.05097487622</v>
      </c>
      <c r="W139" s="84">
        <f t="shared" si="35"/>
        <v>0.04358351916</v>
      </c>
      <c r="X139" s="84">
        <f t="shared" si="35"/>
        <v>0.03726390889</v>
      </c>
      <c r="Y139" s="84">
        <f t="shared" si="35"/>
        <v>0.0318606421</v>
      </c>
      <c r="Z139" s="84">
        <f t="shared" si="35"/>
        <v>0.02724084899</v>
      </c>
      <c r="AA139" s="84">
        <f t="shared" si="35"/>
        <v>0.02329092589</v>
      </c>
      <c r="AB139" s="84">
        <f t="shared" si="35"/>
        <v>0.01991374164</v>
      </c>
      <c r="AC139" s="84">
        <f t="shared" si="35"/>
        <v>0.0170262491</v>
      </c>
      <c r="AD139" s="84">
        <f t="shared" si="35"/>
        <v>0.01455744298</v>
      </c>
      <c r="AE139" s="84">
        <f t="shared" si="35"/>
        <v>0.01244661375</v>
      </c>
      <c r="AF139" s="84">
        <f t="shared" si="35"/>
        <v>0.01064185475</v>
      </c>
      <c r="AG139" s="84">
        <f t="shared" si="35"/>
        <v>0.009098785814</v>
      </c>
    </row>
    <row r="140" hidden="1" outlineLevel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</row>
    <row r="141" hidden="1" outlineLevel="1">
      <c r="A141" s="74"/>
      <c r="B141" s="79" t="s">
        <v>117</v>
      </c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</row>
    <row r="142" hidden="1" outlineLevel="1">
      <c r="A142" s="74"/>
      <c r="B142" s="85" t="s">
        <v>132</v>
      </c>
      <c r="C142" s="85"/>
      <c r="D142" s="86">
        <v>-1000000.0</v>
      </c>
      <c r="E142" s="86">
        <v>-1000000.0</v>
      </c>
      <c r="F142" s="86">
        <v>-1000000.0</v>
      </c>
      <c r="G142" s="86">
        <v>-1000000.0</v>
      </c>
      <c r="H142" s="86">
        <v>-1000000.0</v>
      </c>
      <c r="I142" s="87">
        <v>-1000.0</v>
      </c>
      <c r="J142" s="87">
        <v>-1000.0</v>
      </c>
      <c r="K142" s="87">
        <v>-1000.0</v>
      </c>
      <c r="L142" s="88"/>
      <c r="M142" s="88"/>
      <c r="N142" s="88"/>
      <c r="O142" s="88"/>
      <c r="P142" s="88"/>
      <c r="Q142" s="88"/>
      <c r="R142" s="88"/>
      <c r="S142" s="89"/>
      <c r="T142" s="89"/>
      <c r="U142" s="89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</row>
    <row r="143" hidden="1" outlineLevel="1">
      <c r="A143" s="74"/>
      <c r="B143" s="85" t="s">
        <v>133</v>
      </c>
      <c r="C143" s="74"/>
      <c r="D143" s="90"/>
      <c r="E143" s="90"/>
      <c r="F143" s="74"/>
      <c r="G143" s="74"/>
      <c r="H143" s="74"/>
      <c r="I143" s="74"/>
      <c r="J143" s="74"/>
      <c r="K143" s="86">
        <v>0.0</v>
      </c>
      <c r="L143" s="74"/>
      <c r="M143" s="74"/>
      <c r="N143" s="74"/>
      <c r="O143" s="74"/>
      <c r="P143" s="74"/>
      <c r="Q143" s="74"/>
      <c r="R143" s="90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</row>
    <row r="144" hidden="1" outlineLevel="1">
      <c r="A144" s="74"/>
      <c r="B144" s="85" t="s">
        <v>134</v>
      </c>
      <c r="C144" s="74"/>
      <c r="D144" s="90"/>
      <c r="E144" s="90"/>
      <c r="F144" s="74"/>
      <c r="G144" s="74"/>
      <c r="H144" s="74"/>
      <c r="I144" s="74"/>
      <c r="J144" s="74"/>
      <c r="K144" s="86">
        <v>0.0</v>
      </c>
      <c r="L144" s="74"/>
      <c r="M144" s="74"/>
      <c r="N144" s="74"/>
      <c r="O144" s="74"/>
      <c r="P144" s="74"/>
      <c r="Q144" s="74"/>
      <c r="R144" s="90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</row>
    <row r="145" hidden="1" outlineLevel="1">
      <c r="A145" s="74"/>
      <c r="B145" s="85" t="s">
        <v>135</v>
      </c>
      <c r="C145" s="74"/>
      <c r="D145" s="90">
        <f>510*C42*(1+C45)^D137</f>
        <v>8843400</v>
      </c>
      <c r="E145" s="90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88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</row>
    <row r="146" hidden="1" outlineLevel="1">
      <c r="A146" s="74"/>
      <c r="B146" s="85" t="s">
        <v>136</v>
      </c>
      <c r="C146" s="74"/>
      <c r="D146" s="74"/>
      <c r="E146" s="90"/>
      <c r="F146" s="74"/>
      <c r="G146" s="74"/>
      <c r="H146" s="74"/>
      <c r="I146" s="74"/>
      <c r="J146" s="74"/>
      <c r="K146" s="90">
        <f>360*C42*(1+C45)^K64</f>
        <v>7170555.412</v>
      </c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88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</row>
    <row r="147" hidden="1" outlineLevel="1">
      <c r="A147" s="74"/>
      <c r="B147" s="85" t="s">
        <v>137</v>
      </c>
      <c r="C147" s="74"/>
      <c r="D147" s="74"/>
      <c r="E147" s="90"/>
      <c r="F147" s="74"/>
      <c r="G147" s="74"/>
      <c r="H147" s="74"/>
      <c r="I147" s="74"/>
      <c r="J147" s="74"/>
      <c r="K147" s="90">
        <f>60*C43*(1+C52)^K137</f>
        <v>26752167.38</v>
      </c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88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</row>
    <row r="148" hidden="1" outlineLevel="1">
      <c r="A148" s="74"/>
      <c r="B148" s="5" t="s">
        <v>121</v>
      </c>
      <c r="G148" s="74"/>
      <c r="H148" s="74"/>
      <c r="I148" s="74"/>
      <c r="J148" s="74"/>
      <c r="K148" s="60">
        <f>$C$55*$C$56*(1+C58)^K137</f>
        <v>21659838.33</v>
      </c>
      <c r="L148" s="74"/>
      <c r="M148" s="74"/>
      <c r="N148" s="74"/>
      <c r="O148" s="74"/>
      <c r="P148" s="74"/>
      <c r="Q148" s="74"/>
      <c r="R148" s="90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</row>
    <row r="149" hidden="1" outlineLevel="1">
      <c r="A149" s="74"/>
      <c r="G149" s="74"/>
      <c r="H149" s="74"/>
      <c r="I149" s="74"/>
      <c r="J149" s="74"/>
      <c r="K149" s="60"/>
      <c r="L149" s="74"/>
      <c r="M149" s="74"/>
      <c r="N149" s="74"/>
      <c r="O149" s="74"/>
      <c r="P149" s="74"/>
      <c r="Q149" s="74"/>
      <c r="R149" s="90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</row>
    <row r="150" hidden="1" outlineLevel="1">
      <c r="A150" s="74"/>
      <c r="B150" s="5"/>
      <c r="G150" s="74"/>
      <c r="H150" s="74"/>
      <c r="I150" s="74"/>
      <c r="J150" s="74"/>
      <c r="K150" s="60"/>
      <c r="L150" s="74"/>
      <c r="M150" s="74"/>
      <c r="N150" s="74"/>
      <c r="O150" s="74"/>
      <c r="P150" s="74"/>
      <c r="Q150" s="74"/>
      <c r="R150" s="90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</row>
    <row r="151" hidden="1" outlineLevel="1">
      <c r="A151" s="74"/>
      <c r="B151" s="74"/>
      <c r="C151" s="74"/>
      <c r="D151" s="90"/>
      <c r="E151" s="90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90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</row>
    <row r="152" hidden="1" outlineLevel="1">
      <c r="A152" s="74"/>
      <c r="B152" s="78" t="s">
        <v>138</v>
      </c>
      <c r="C152" s="74"/>
      <c r="D152" s="74"/>
      <c r="E152" s="74"/>
      <c r="F152" s="74"/>
      <c r="G152" s="74"/>
      <c r="H152" s="74"/>
      <c r="I152" s="88"/>
      <c r="J152" s="88"/>
      <c r="K152" s="88"/>
      <c r="L152" s="74"/>
      <c r="M152" s="74"/>
      <c r="N152" s="74"/>
      <c r="O152" s="74"/>
      <c r="P152" s="74"/>
      <c r="Q152" s="74"/>
      <c r="R152" s="74"/>
      <c r="S152" s="88"/>
      <c r="T152" s="88"/>
      <c r="U152" s="88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</row>
    <row r="153" hidden="1" outlineLevel="1">
      <c r="A153" s="74"/>
      <c r="B153" s="85" t="s">
        <v>139</v>
      </c>
      <c r="C153" s="74"/>
      <c r="D153" s="74"/>
      <c r="E153" s="74"/>
      <c r="F153" s="74"/>
      <c r="G153" s="74"/>
      <c r="H153" s="74"/>
      <c r="I153" s="88">
        <f t="shared" ref="I153:K153" si="36">($C$14/3)*(1+$C$30)^I137</f>
        <v>-5197004.284</v>
      </c>
      <c r="J153" s="88">
        <f t="shared" si="36"/>
        <v>-5378899.434</v>
      </c>
      <c r="K153" s="88">
        <f t="shared" si="36"/>
        <v>-5567160.914</v>
      </c>
      <c r="L153" s="74"/>
      <c r="M153" s="74"/>
      <c r="N153" s="74"/>
      <c r="O153" s="74"/>
      <c r="P153" s="74"/>
      <c r="Q153" s="74"/>
      <c r="R153" s="74"/>
      <c r="S153" s="88"/>
      <c r="T153" s="88"/>
      <c r="U153" s="88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</row>
    <row r="154" hidden="1" outlineLevel="1">
      <c r="A154" s="74"/>
      <c r="B154" s="85" t="s">
        <v>140</v>
      </c>
      <c r="C154" s="74"/>
      <c r="D154" s="74"/>
      <c r="E154" s="74"/>
      <c r="F154" s="74"/>
      <c r="G154" s="74"/>
      <c r="H154" s="74"/>
      <c r="I154" s="88">
        <f t="shared" ref="I154:K154" si="37">$C$15/3*(1+$C$30)^I137</f>
        <v>-3668559.684</v>
      </c>
      <c r="J154" s="88">
        <f t="shared" si="37"/>
        <v>-3796959.273</v>
      </c>
      <c r="K154" s="88">
        <f t="shared" si="37"/>
        <v>-3929852.848</v>
      </c>
      <c r="L154" s="74"/>
      <c r="M154" s="74"/>
      <c r="N154" s="74"/>
      <c r="O154" s="74"/>
      <c r="P154" s="74"/>
      <c r="Q154" s="74"/>
      <c r="R154" s="74"/>
      <c r="S154" s="88"/>
      <c r="T154" s="88"/>
      <c r="U154" s="88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</row>
    <row r="155" hidden="1" outlineLevel="1">
      <c r="A155" s="74"/>
      <c r="B155" s="85" t="s">
        <v>141</v>
      </c>
      <c r="C155" s="74"/>
      <c r="D155" s="74"/>
      <c r="E155" s="74"/>
      <c r="F155" s="74"/>
      <c r="G155" s="74"/>
      <c r="H155" s="74"/>
      <c r="I155" s="88"/>
      <c r="J155" s="88"/>
      <c r="K155" s="87">
        <f>C17</f>
        <v>-15000000</v>
      </c>
      <c r="L155" s="74"/>
      <c r="M155" s="74"/>
      <c r="N155" s="74"/>
      <c r="O155" s="74"/>
      <c r="P155" s="74"/>
      <c r="Q155" s="74"/>
      <c r="R155" s="74"/>
      <c r="S155" s="88"/>
      <c r="T155" s="88"/>
      <c r="U155" s="88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</row>
    <row r="156" hidden="1" outlineLevel="1">
      <c r="A156" s="74"/>
      <c r="B156" s="85" t="s">
        <v>142</v>
      </c>
      <c r="C156" s="74"/>
      <c r="D156" s="88">
        <f t="shared" ref="D156:E156" si="38">$C$16/2</f>
        <v>-204683</v>
      </c>
      <c r="E156" s="88">
        <f t="shared" si="38"/>
        <v>-204683</v>
      </c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</row>
    <row r="157" hidden="1" outlineLevel="1">
      <c r="A157" s="74"/>
      <c r="B157" s="85" t="s">
        <v>143</v>
      </c>
      <c r="C157" s="74"/>
      <c r="G157" s="91"/>
      <c r="H157" s="91"/>
      <c r="I157" s="92">
        <v>-2000000.0</v>
      </c>
      <c r="J157" s="92">
        <v>-2000000.0</v>
      </c>
      <c r="K157" s="92">
        <v>-2000000.0</v>
      </c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</row>
    <row r="158" hidden="1" outlineLevel="1">
      <c r="A158" s="74"/>
      <c r="B158" s="85" t="s">
        <v>144</v>
      </c>
      <c r="C158" s="74"/>
      <c r="G158" s="91"/>
      <c r="H158" s="91"/>
      <c r="I158" s="92">
        <v>1000000.0</v>
      </c>
      <c r="J158" s="92">
        <v>1000000.0</v>
      </c>
      <c r="K158" s="92">
        <v>1000000.0</v>
      </c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</row>
    <row r="159" hidden="1" outlineLevel="1">
      <c r="A159" s="74"/>
      <c r="B159" s="79"/>
      <c r="C159" s="74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</row>
    <row r="160" hidden="1" outlineLevel="1">
      <c r="A160" s="74"/>
      <c r="B160" s="78" t="s">
        <v>145</v>
      </c>
      <c r="C160" s="74"/>
      <c r="D160" s="89">
        <f t="shared" ref="D160:L160" si="39">SUM(D142:D158)</f>
        <v>7638717</v>
      </c>
      <c r="E160" s="89">
        <f t="shared" si="39"/>
        <v>-1204683</v>
      </c>
      <c r="F160" s="89">
        <f t="shared" si="39"/>
        <v>-1000000</v>
      </c>
      <c r="G160" s="89">
        <f t="shared" si="39"/>
        <v>-1000000</v>
      </c>
      <c r="H160" s="89">
        <f t="shared" si="39"/>
        <v>-1000000</v>
      </c>
      <c r="I160" s="89">
        <f t="shared" si="39"/>
        <v>-9866563.968</v>
      </c>
      <c r="J160" s="89">
        <f t="shared" si="39"/>
        <v>-10176858.71</v>
      </c>
      <c r="K160" s="89">
        <f t="shared" si="39"/>
        <v>30084547.36</v>
      </c>
      <c r="L160" s="89">
        <f t="shared" si="39"/>
        <v>0</v>
      </c>
      <c r="M160" s="89"/>
      <c r="N160" s="89"/>
      <c r="O160" s="89"/>
      <c r="P160" s="89"/>
      <c r="Q160" s="89"/>
      <c r="R160" s="89"/>
      <c r="S160" s="89"/>
      <c r="T160" s="89"/>
      <c r="U160" s="89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</row>
    <row r="161" hidden="1" outlineLevel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</row>
    <row r="162" hidden="1" outlineLevel="1">
      <c r="A162" s="74"/>
      <c r="B162" s="79" t="s">
        <v>99</v>
      </c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</row>
    <row r="163" hidden="1" outlineLevel="1">
      <c r="A163" s="74"/>
      <c r="B163" s="74" t="s">
        <v>127</v>
      </c>
      <c r="C163" s="93">
        <f>C25</f>
        <v>338475</v>
      </c>
      <c r="D163" s="93">
        <f t="shared" ref="D163:H163" si="40">C163</f>
        <v>338475</v>
      </c>
      <c r="E163" s="93">
        <f t="shared" si="40"/>
        <v>338475</v>
      </c>
      <c r="F163" s="93">
        <f t="shared" si="40"/>
        <v>338475</v>
      </c>
      <c r="G163" s="93">
        <f t="shared" si="40"/>
        <v>338475</v>
      </c>
      <c r="H163" s="93">
        <f t="shared" si="40"/>
        <v>338475</v>
      </c>
      <c r="I163" s="93"/>
      <c r="J163" s="93" t="str">
        <f t="shared" ref="J163:L163" si="41">I163</f>
        <v/>
      </c>
      <c r="K163" s="93" t="str">
        <f t="shared" si="41"/>
        <v/>
      </c>
      <c r="L163" s="93" t="str">
        <f t="shared" si="41"/>
        <v/>
      </c>
      <c r="M163" s="93"/>
      <c r="N163" s="93"/>
      <c r="O163" s="93"/>
      <c r="P163" s="93"/>
      <c r="Q163" s="93"/>
      <c r="R163" s="93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</row>
    <row r="164" hidden="1" outlineLevel="1">
      <c r="A164" s="74"/>
      <c r="B164" s="74" t="s">
        <v>128</v>
      </c>
      <c r="C164" s="89">
        <f>$C$29</f>
        <v>134</v>
      </c>
      <c r="D164" s="89">
        <f t="shared" ref="D164:L164" si="42">C164*(1+$C$30)</f>
        <v>138.69</v>
      </c>
      <c r="E164" s="89">
        <f t="shared" si="42"/>
        <v>143.54415</v>
      </c>
      <c r="F164" s="89">
        <f t="shared" si="42"/>
        <v>148.5681953</v>
      </c>
      <c r="G164" s="89">
        <f t="shared" si="42"/>
        <v>153.7680821</v>
      </c>
      <c r="H164" s="89">
        <f t="shared" si="42"/>
        <v>159.149965</v>
      </c>
      <c r="I164" s="89">
        <f t="shared" si="42"/>
        <v>164.7202137</v>
      </c>
      <c r="J164" s="89">
        <f t="shared" si="42"/>
        <v>170.4854212</v>
      </c>
      <c r="K164" s="89">
        <f t="shared" si="42"/>
        <v>176.452411</v>
      </c>
      <c r="L164" s="89">
        <f t="shared" si="42"/>
        <v>182.6282453</v>
      </c>
      <c r="M164" s="89"/>
      <c r="N164" s="89"/>
      <c r="O164" s="89"/>
      <c r="P164" s="89"/>
      <c r="Q164" s="89"/>
      <c r="R164" s="89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</row>
    <row r="165" hidden="1" outlineLevel="1">
      <c r="A165" s="74"/>
      <c r="B165" s="74" t="s">
        <v>129</v>
      </c>
      <c r="C165" s="88">
        <f t="shared" ref="C165:L165" si="43">C163*C164</f>
        <v>45355650</v>
      </c>
      <c r="D165" s="88">
        <f t="shared" si="43"/>
        <v>46943097.75</v>
      </c>
      <c r="E165" s="88">
        <f t="shared" si="43"/>
        <v>48586106.17</v>
      </c>
      <c r="F165" s="88">
        <f t="shared" si="43"/>
        <v>50286619.89</v>
      </c>
      <c r="G165" s="88">
        <f t="shared" si="43"/>
        <v>52046651.58</v>
      </c>
      <c r="H165" s="88">
        <f t="shared" si="43"/>
        <v>53868284.39</v>
      </c>
      <c r="I165" s="88">
        <f t="shared" si="43"/>
        <v>0</v>
      </c>
      <c r="J165" s="88">
        <f t="shared" si="43"/>
        <v>0</v>
      </c>
      <c r="K165" s="88">
        <f t="shared" si="43"/>
        <v>0</v>
      </c>
      <c r="L165" s="88">
        <f t="shared" si="43"/>
        <v>0</v>
      </c>
      <c r="M165" s="88"/>
      <c r="N165" s="88"/>
      <c r="O165" s="88"/>
      <c r="P165" s="88"/>
      <c r="Q165" s="88"/>
      <c r="R165" s="88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</row>
    <row r="166" hidden="1" outlineLevel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</row>
    <row r="167" hidden="1" outlineLevel="1">
      <c r="A167" s="74"/>
      <c r="B167" s="79" t="s">
        <v>130</v>
      </c>
      <c r="C167" s="65">
        <f>$C$31</f>
        <v>0.19</v>
      </c>
      <c r="D167" s="94">
        <f t="shared" ref="D167:L167" si="44">C167</f>
        <v>0.19</v>
      </c>
      <c r="E167" s="94">
        <f t="shared" si="44"/>
        <v>0.19</v>
      </c>
      <c r="F167" s="94">
        <f t="shared" si="44"/>
        <v>0.19</v>
      </c>
      <c r="G167" s="94">
        <f t="shared" si="44"/>
        <v>0.19</v>
      </c>
      <c r="H167" s="94">
        <f t="shared" si="44"/>
        <v>0.19</v>
      </c>
      <c r="I167" s="94">
        <f t="shared" si="44"/>
        <v>0.19</v>
      </c>
      <c r="J167" s="94">
        <f t="shared" si="44"/>
        <v>0.19</v>
      </c>
      <c r="K167" s="94">
        <f t="shared" si="44"/>
        <v>0.19</v>
      </c>
      <c r="L167" s="94">
        <f t="shared" si="44"/>
        <v>0.19</v>
      </c>
      <c r="M167" s="94"/>
      <c r="N167" s="94"/>
      <c r="O167" s="94"/>
      <c r="P167" s="94"/>
      <c r="Q167" s="94"/>
      <c r="R167" s="9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</row>
    <row r="168" hidden="1" outlineLevel="1">
      <c r="A168" s="74"/>
      <c r="B168" s="74" t="s">
        <v>104</v>
      </c>
      <c r="C168" s="88">
        <f t="shared" ref="C168:L168" si="45">C165*C167</f>
        <v>8617573.5</v>
      </c>
      <c r="D168" s="88">
        <f t="shared" si="45"/>
        <v>8919188.573</v>
      </c>
      <c r="E168" s="88">
        <f t="shared" si="45"/>
        <v>9231360.173</v>
      </c>
      <c r="F168" s="88">
        <f t="shared" si="45"/>
        <v>9554457.779</v>
      </c>
      <c r="G168" s="88">
        <f t="shared" si="45"/>
        <v>9888863.801</v>
      </c>
      <c r="H168" s="88">
        <f t="shared" si="45"/>
        <v>10234974.03</v>
      </c>
      <c r="I168" s="88">
        <f t="shared" si="45"/>
        <v>0</v>
      </c>
      <c r="J168" s="88">
        <f t="shared" si="45"/>
        <v>0</v>
      </c>
      <c r="K168" s="88">
        <f t="shared" si="45"/>
        <v>0</v>
      </c>
      <c r="L168" s="88">
        <f t="shared" si="45"/>
        <v>0</v>
      </c>
      <c r="M168" s="88"/>
      <c r="N168" s="88"/>
      <c r="O168" s="88"/>
      <c r="P168" s="88"/>
      <c r="Q168" s="88"/>
      <c r="R168" s="88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</row>
    <row r="169" hidden="1" outlineLevel="1">
      <c r="A169" s="74"/>
      <c r="B169" s="79"/>
      <c r="C169" s="90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</row>
    <row r="170" hidden="1" outlineLevel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</row>
    <row r="171" hidden="1" outlineLevel="1">
      <c r="A171" s="74"/>
      <c r="B171" s="79" t="s">
        <v>111</v>
      </c>
      <c r="C171" s="88">
        <f t="shared" ref="C171:L171" si="46">C168+C160</f>
        <v>8617573.5</v>
      </c>
      <c r="D171" s="88">
        <f t="shared" si="46"/>
        <v>16557905.57</v>
      </c>
      <c r="E171" s="88">
        <f t="shared" si="46"/>
        <v>8026677.173</v>
      </c>
      <c r="F171" s="88">
        <f t="shared" si="46"/>
        <v>8554457.779</v>
      </c>
      <c r="G171" s="88">
        <f t="shared" si="46"/>
        <v>8888863.801</v>
      </c>
      <c r="H171" s="88">
        <f t="shared" si="46"/>
        <v>9234974.034</v>
      </c>
      <c r="I171" s="88">
        <f t="shared" si="46"/>
        <v>-9866563.968</v>
      </c>
      <c r="J171" s="88">
        <f t="shared" si="46"/>
        <v>-10176858.71</v>
      </c>
      <c r="K171" s="88">
        <f t="shared" si="46"/>
        <v>30084547.36</v>
      </c>
      <c r="L171" s="88">
        <f t="shared" si="46"/>
        <v>0</v>
      </c>
      <c r="M171" s="88"/>
      <c r="N171" s="88"/>
      <c r="O171" s="88"/>
      <c r="P171" s="88"/>
      <c r="Q171" s="88"/>
      <c r="R171" s="88"/>
      <c r="S171" s="95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</row>
    <row r="172" hidden="1" outlineLevel="1">
      <c r="A172" s="74"/>
      <c r="B172" s="79" t="s">
        <v>112</v>
      </c>
      <c r="C172" s="88">
        <f t="shared" ref="C172:L172" si="47">C171*C139</f>
        <v>8617573.5</v>
      </c>
      <c r="D172" s="88">
        <f t="shared" si="47"/>
        <v>14157009.26</v>
      </c>
      <c r="E172" s="88">
        <f t="shared" si="47"/>
        <v>5867701.68</v>
      </c>
      <c r="F172" s="88">
        <f t="shared" si="47"/>
        <v>5346761.735</v>
      </c>
      <c r="G172" s="88">
        <f t="shared" si="47"/>
        <v>4750187.043</v>
      </c>
      <c r="H172" s="88">
        <f t="shared" si="47"/>
        <v>4219551.116</v>
      </c>
      <c r="I172" s="88">
        <f t="shared" si="47"/>
        <v>-3854451.845</v>
      </c>
      <c r="J172" s="88">
        <f t="shared" si="47"/>
        <v>-3399198.669</v>
      </c>
      <c r="K172" s="88">
        <f t="shared" si="47"/>
        <v>8591567.362</v>
      </c>
      <c r="L172" s="88">
        <f t="shared" si="47"/>
        <v>0</v>
      </c>
      <c r="M172" s="88"/>
      <c r="N172" s="88"/>
      <c r="O172" s="88"/>
      <c r="P172" s="88"/>
      <c r="Q172" s="88"/>
      <c r="R172" s="88"/>
      <c r="S172" s="95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</row>
    <row r="173" hidden="1" outlineLevel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</row>
    <row r="174" hidden="1" outlineLevel="1">
      <c r="A174" s="74"/>
      <c r="B174" s="96" t="s">
        <v>113</v>
      </c>
      <c r="C174" s="97">
        <f t="array" ref="C174">NPV($C$11,C171:L171)</f>
        <v>40720123.78</v>
      </c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</row>
    <row r="175" hidden="1" outlineLevel="1">
      <c r="B175" s="5" t="s">
        <v>146</v>
      </c>
      <c r="C175" s="60">
        <f>SUM(C142:K145)</f>
        <v>3840400</v>
      </c>
    </row>
    <row r="176" hidden="1" outlineLevel="1"/>
    <row r="177">
      <c r="B177" s="1"/>
      <c r="C177" s="71"/>
    </row>
    <row r="178" collapsed="1">
      <c r="B178" s="6" t="s">
        <v>147</v>
      </c>
      <c r="C178" s="10">
        <f>C207</f>
        <v>23291772.54</v>
      </c>
    </row>
    <row r="179" hidden="1" outlineLevel="1">
      <c r="B179" s="5" t="s">
        <v>148</v>
      </c>
    </row>
    <row r="180" hidden="1" outlineLevel="1"/>
    <row r="181" hidden="1" outlineLevel="1">
      <c r="B181" s="1" t="s">
        <v>89</v>
      </c>
      <c r="C181" s="1">
        <v>0.0</v>
      </c>
      <c r="D181" s="71">
        <f t="shared" ref="D181:AG181" si="48">C181+1</f>
        <v>1</v>
      </c>
      <c r="E181" s="71">
        <f t="shared" si="48"/>
        <v>2</v>
      </c>
      <c r="F181" s="71">
        <f t="shared" si="48"/>
        <v>3</v>
      </c>
      <c r="G181" s="71">
        <f t="shared" si="48"/>
        <v>4</v>
      </c>
      <c r="H181" s="71">
        <f t="shared" si="48"/>
        <v>5</v>
      </c>
      <c r="I181" s="71">
        <f t="shared" si="48"/>
        <v>6</v>
      </c>
      <c r="J181" s="71">
        <f t="shared" si="48"/>
        <v>7</v>
      </c>
      <c r="K181" s="71">
        <f t="shared" si="48"/>
        <v>8</v>
      </c>
      <c r="L181" s="71">
        <f t="shared" si="48"/>
        <v>9</v>
      </c>
      <c r="M181" s="71">
        <f t="shared" si="48"/>
        <v>10</v>
      </c>
      <c r="N181" s="71">
        <f t="shared" si="48"/>
        <v>11</v>
      </c>
      <c r="O181" s="71">
        <f t="shared" si="48"/>
        <v>12</v>
      </c>
      <c r="P181" s="71">
        <f t="shared" si="48"/>
        <v>13</v>
      </c>
      <c r="Q181" s="71">
        <f t="shared" si="48"/>
        <v>14</v>
      </c>
      <c r="R181" s="71">
        <f t="shared" si="48"/>
        <v>15</v>
      </c>
      <c r="S181" s="71">
        <f t="shared" si="48"/>
        <v>16</v>
      </c>
      <c r="T181" s="71">
        <f t="shared" si="48"/>
        <v>17</v>
      </c>
      <c r="U181" s="71">
        <f t="shared" si="48"/>
        <v>18</v>
      </c>
      <c r="V181" s="71">
        <f t="shared" si="48"/>
        <v>19</v>
      </c>
      <c r="W181" s="71">
        <f t="shared" si="48"/>
        <v>20</v>
      </c>
      <c r="X181" s="71">
        <f t="shared" si="48"/>
        <v>21</v>
      </c>
      <c r="Y181" s="71">
        <f t="shared" si="48"/>
        <v>22</v>
      </c>
      <c r="Z181" s="71">
        <f t="shared" si="48"/>
        <v>23</v>
      </c>
      <c r="AA181" s="71">
        <f t="shared" si="48"/>
        <v>24</v>
      </c>
      <c r="AB181" s="71">
        <f t="shared" si="48"/>
        <v>25</v>
      </c>
      <c r="AC181" s="71">
        <f t="shared" si="48"/>
        <v>26</v>
      </c>
      <c r="AD181" s="71">
        <f t="shared" si="48"/>
        <v>27</v>
      </c>
      <c r="AE181" s="71">
        <f t="shared" si="48"/>
        <v>28</v>
      </c>
      <c r="AF181" s="71">
        <f t="shared" si="48"/>
        <v>29</v>
      </c>
      <c r="AG181" s="71">
        <f t="shared" si="48"/>
        <v>30</v>
      </c>
    </row>
    <row r="182" hidden="1" outlineLevel="1">
      <c r="B182" s="1" t="s">
        <v>90</v>
      </c>
      <c r="C182" s="5">
        <v>2022.0</v>
      </c>
      <c r="D182" s="72">
        <f t="shared" ref="D182:AG182" si="49">C182+1</f>
        <v>2023</v>
      </c>
      <c r="E182" s="72">
        <f t="shared" si="49"/>
        <v>2024</v>
      </c>
      <c r="F182" s="72">
        <f t="shared" si="49"/>
        <v>2025</v>
      </c>
      <c r="G182" s="72">
        <f t="shared" si="49"/>
        <v>2026</v>
      </c>
      <c r="H182" s="72">
        <f t="shared" si="49"/>
        <v>2027</v>
      </c>
      <c r="I182" s="72">
        <f t="shared" si="49"/>
        <v>2028</v>
      </c>
      <c r="J182" s="72">
        <f t="shared" si="49"/>
        <v>2029</v>
      </c>
      <c r="K182" s="72">
        <f t="shared" si="49"/>
        <v>2030</v>
      </c>
      <c r="L182" s="72">
        <f t="shared" si="49"/>
        <v>2031</v>
      </c>
      <c r="M182" s="72">
        <f t="shared" si="49"/>
        <v>2032</v>
      </c>
      <c r="N182" s="72">
        <f t="shared" si="49"/>
        <v>2033</v>
      </c>
      <c r="O182" s="72">
        <f t="shared" si="49"/>
        <v>2034</v>
      </c>
      <c r="P182" s="72">
        <f t="shared" si="49"/>
        <v>2035</v>
      </c>
      <c r="Q182" s="72">
        <f t="shared" si="49"/>
        <v>2036</v>
      </c>
      <c r="R182" s="72">
        <f t="shared" si="49"/>
        <v>2037</v>
      </c>
      <c r="S182" s="72">
        <f t="shared" si="49"/>
        <v>2038</v>
      </c>
      <c r="T182" s="72">
        <f t="shared" si="49"/>
        <v>2039</v>
      </c>
      <c r="U182" s="72">
        <f t="shared" si="49"/>
        <v>2040</v>
      </c>
      <c r="V182" s="72">
        <f t="shared" si="49"/>
        <v>2041</v>
      </c>
      <c r="W182" s="72">
        <f t="shared" si="49"/>
        <v>2042</v>
      </c>
      <c r="X182" s="72">
        <f t="shared" si="49"/>
        <v>2043</v>
      </c>
      <c r="Y182" s="72">
        <f t="shared" si="49"/>
        <v>2044</v>
      </c>
      <c r="Z182" s="72">
        <f t="shared" si="49"/>
        <v>2045</v>
      </c>
      <c r="AA182" s="72">
        <f t="shared" si="49"/>
        <v>2046</v>
      </c>
      <c r="AB182" s="72">
        <f t="shared" si="49"/>
        <v>2047</v>
      </c>
      <c r="AC182" s="72">
        <f t="shared" si="49"/>
        <v>2048</v>
      </c>
      <c r="AD182" s="72">
        <f t="shared" si="49"/>
        <v>2049</v>
      </c>
      <c r="AE182" s="72">
        <f t="shared" si="49"/>
        <v>2050</v>
      </c>
      <c r="AF182" s="72">
        <f t="shared" si="49"/>
        <v>2051</v>
      </c>
      <c r="AG182" s="72">
        <f t="shared" si="49"/>
        <v>2052</v>
      </c>
    </row>
    <row r="183" hidden="1" outlineLevel="1">
      <c r="B183" s="1" t="s">
        <v>91</v>
      </c>
      <c r="C183" s="73">
        <f t="shared" ref="C183:AG183" si="50">(1-$C$11)^C181</f>
        <v>1</v>
      </c>
      <c r="D183" s="73">
        <f t="shared" si="50"/>
        <v>0.855</v>
      </c>
      <c r="E183" s="73">
        <f t="shared" si="50"/>
        <v>0.731025</v>
      </c>
      <c r="F183" s="73">
        <f t="shared" si="50"/>
        <v>0.625026375</v>
      </c>
      <c r="G183" s="73">
        <f t="shared" si="50"/>
        <v>0.5343975506</v>
      </c>
      <c r="H183" s="73">
        <f t="shared" si="50"/>
        <v>0.4569099058</v>
      </c>
      <c r="I183" s="73">
        <f t="shared" si="50"/>
        <v>0.3906579694</v>
      </c>
      <c r="J183" s="73">
        <f t="shared" si="50"/>
        <v>0.3340125639</v>
      </c>
      <c r="K183" s="73">
        <f t="shared" si="50"/>
        <v>0.2855807421</v>
      </c>
      <c r="L183" s="73">
        <f t="shared" si="50"/>
        <v>0.2441715345</v>
      </c>
      <c r="M183" s="73">
        <f t="shared" si="50"/>
        <v>0.208766662</v>
      </c>
      <c r="N183" s="73">
        <f t="shared" si="50"/>
        <v>0.178495496</v>
      </c>
      <c r="O183" s="73">
        <f t="shared" si="50"/>
        <v>0.1526136491</v>
      </c>
      <c r="P183" s="73">
        <f t="shared" si="50"/>
        <v>0.13048467</v>
      </c>
      <c r="Q183" s="73">
        <f t="shared" si="50"/>
        <v>0.1115643928</v>
      </c>
      <c r="R183" s="73">
        <f t="shared" si="50"/>
        <v>0.09538755587</v>
      </c>
      <c r="S183" s="73">
        <f t="shared" si="50"/>
        <v>0.08155636027</v>
      </c>
      <c r="T183" s="73">
        <f t="shared" si="50"/>
        <v>0.06973068803</v>
      </c>
      <c r="U183" s="73">
        <f t="shared" si="50"/>
        <v>0.05961973826</v>
      </c>
      <c r="V183" s="73">
        <f t="shared" si="50"/>
        <v>0.05097487622</v>
      </c>
      <c r="W183" s="73">
        <f t="shared" si="50"/>
        <v>0.04358351916</v>
      </c>
      <c r="X183" s="73">
        <f t="shared" si="50"/>
        <v>0.03726390889</v>
      </c>
      <c r="Y183" s="73">
        <f t="shared" si="50"/>
        <v>0.0318606421</v>
      </c>
      <c r="Z183" s="73">
        <f t="shared" si="50"/>
        <v>0.02724084899</v>
      </c>
      <c r="AA183" s="73">
        <f t="shared" si="50"/>
        <v>0.02329092589</v>
      </c>
      <c r="AB183" s="73">
        <f t="shared" si="50"/>
        <v>0.01991374164</v>
      </c>
      <c r="AC183" s="73">
        <f t="shared" si="50"/>
        <v>0.0170262491</v>
      </c>
      <c r="AD183" s="73">
        <f t="shared" si="50"/>
        <v>0.01455744298</v>
      </c>
      <c r="AE183" s="73">
        <f t="shared" si="50"/>
        <v>0.01244661375</v>
      </c>
      <c r="AF183" s="73">
        <f t="shared" si="50"/>
        <v>0.01064185475</v>
      </c>
      <c r="AG183" s="73">
        <f t="shared" si="50"/>
        <v>0.009098785814</v>
      </c>
    </row>
    <row r="184" hidden="1" outlineLevel="1"/>
    <row r="185" hidden="1" outlineLevel="1">
      <c r="B185" s="1" t="s">
        <v>117</v>
      </c>
    </row>
    <row r="186" hidden="1" outlineLevel="1">
      <c r="B186" s="5" t="s">
        <v>149</v>
      </c>
      <c r="E186" s="56"/>
      <c r="F186" s="61">
        <f>7150000</f>
        <v>7150000</v>
      </c>
    </row>
    <row r="187" hidden="1" outlineLevel="1">
      <c r="B187" s="5" t="s">
        <v>150</v>
      </c>
      <c r="F187" s="58">
        <f>208*C44*(1+C45)^F103</f>
        <v>3752431.488</v>
      </c>
    </row>
    <row r="188" hidden="1" outlineLevel="1">
      <c r="B188" s="5" t="s">
        <v>151</v>
      </c>
      <c r="F188" s="58">
        <f>830*C48*(1+C52)^F181</f>
        <v>41244256.25</v>
      </c>
    </row>
    <row r="189" hidden="1" outlineLevel="1">
      <c r="B189" s="5" t="s">
        <v>152</v>
      </c>
      <c r="F189" s="58">
        <f>C49*60*(1+C52)^F137</f>
        <v>18634453.13</v>
      </c>
    </row>
    <row r="190" hidden="1" outlineLevel="1">
      <c r="B190" s="5" t="s">
        <v>153</v>
      </c>
      <c r="F190" s="60">
        <f>$C$55*$C$56*(1+C58)^F181</f>
        <v>18237002.67</v>
      </c>
    </row>
    <row r="191" hidden="1" outlineLevel="1">
      <c r="B191" s="5"/>
    </row>
    <row r="192" hidden="1" outlineLevel="1">
      <c r="B192" s="1" t="s">
        <v>138</v>
      </c>
    </row>
    <row r="193" hidden="1" outlineLevel="1">
      <c r="B193" s="5" t="s">
        <v>154</v>
      </c>
      <c r="D193" s="60">
        <f t="shared" ref="D193:E193" si="51">$C$14/2</f>
        <v>-6341649.5</v>
      </c>
      <c r="E193" s="60">
        <f t="shared" si="51"/>
        <v>-6341649.5</v>
      </c>
    </row>
    <row r="194" hidden="1" outlineLevel="1">
      <c r="B194" s="5" t="s">
        <v>155</v>
      </c>
      <c r="D194" s="60">
        <f t="shared" ref="D194:E194" si="52">$C$15/2</f>
        <v>-4476563.5</v>
      </c>
      <c r="E194" s="60">
        <f t="shared" si="52"/>
        <v>-4476563.5</v>
      </c>
      <c r="I194" s="60"/>
    </row>
    <row r="195" hidden="1" outlineLevel="1">
      <c r="B195" s="5" t="s">
        <v>156</v>
      </c>
      <c r="F195" s="60">
        <f>C17</f>
        <v>-15000000</v>
      </c>
      <c r="I195" s="60"/>
    </row>
    <row r="196" hidden="1" outlineLevel="1">
      <c r="B196" s="5" t="s">
        <v>157</v>
      </c>
      <c r="D196" s="60">
        <f t="shared" ref="D196:E196" si="53">$C$16/2</f>
        <v>-204683</v>
      </c>
      <c r="E196" s="60">
        <f t="shared" si="53"/>
        <v>-204683</v>
      </c>
    </row>
    <row r="197" hidden="1" outlineLevel="1">
      <c r="B197" s="5" t="s">
        <v>158</v>
      </c>
      <c r="D197" s="98">
        <v>-2000000.0</v>
      </c>
      <c r="E197" s="98">
        <v>-2000000.0</v>
      </c>
      <c r="F197" s="98">
        <v>-2000000.0</v>
      </c>
    </row>
    <row r="198" hidden="1" outlineLevel="1">
      <c r="B198" s="5" t="s">
        <v>159</v>
      </c>
      <c r="D198" s="98">
        <v>1000000.0</v>
      </c>
      <c r="E198" s="98">
        <v>1000000.0</v>
      </c>
      <c r="F198" s="98">
        <v>1000000.0</v>
      </c>
    </row>
    <row r="199" hidden="1" outlineLevel="1">
      <c r="B199" s="1"/>
      <c r="D199" s="63"/>
      <c r="E199" s="63"/>
    </row>
    <row r="200" hidden="1" outlineLevel="1">
      <c r="B200" s="1" t="s">
        <v>145</v>
      </c>
      <c r="C200" s="63">
        <f t="shared" ref="C200:F200" si="54">SUM(C186:C197)</f>
        <v>0</v>
      </c>
      <c r="D200" s="63">
        <f t="shared" si="54"/>
        <v>-13022896</v>
      </c>
      <c r="E200" s="63">
        <f t="shared" si="54"/>
        <v>-13022896</v>
      </c>
      <c r="F200" s="63">
        <f t="shared" si="54"/>
        <v>72018143.53</v>
      </c>
    </row>
    <row r="201" hidden="1" outlineLevel="1"/>
    <row r="202" hidden="1" outlineLevel="1">
      <c r="B202" s="1"/>
      <c r="C202" s="60"/>
    </row>
    <row r="203" hidden="1" outlineLevel="1"/>
    <row r="204" hidden="1" outlineLevel="1">
      <c r="B204" s="1" t="s">
        <v>111</v>
      </c>
      <c r="C204" s="63">
        <f t="shared" ref="C204:F204" si="55">C200</f>
        <v>0</v>
      </c>
      <c r="D204" s="63">
        <f t="shared" si="55"/>
        <v>-13022896</v>
      </c>
      <c r="E204" s="63">
        <f t="shared" si="55"/>
        <v>-13022896</v>
      </c>
      <c r="F204" s="63">
        <f t="shared" si="55"/>
        <v>72018143.53</v>
      </c>
    </row>
    <row r="205" hidden="1" outlineLevel="1">
      <c r="B205" s="1" t="s">
        <v>112</v>
      </c>
      <c r="C205" s="59"/>
      <c r="D205" s="63">
        <f t="shared" ref="D205:F205" si="56">D204*D183</f>
        <v>-11134576.08</v>
      </c>
      <c r="E205" s="63">
        <f t="shared" si="56"/>
        <v>-9520062.548</v>
      </c>
      <c r="F205" s="63">
        <f t="shared" si="56"/>
        <v>45013239.19</v>
      </c>
    </row>
    <row r="206" hidden="1" outlineLevel="1"/>
    <row r="207" hidden="1" outlineLevel="1">
      <c r="B207" s="76" t="s">
        <v>113</v>
      </c>
      <c r="C207" s="77">
        <f t="array" ref="C207">NPV($C$11,C204:P204)</f>
        <v>23291772.54</v>
      </c>
    </row>
    <row r="208" hidden="1" outlineLevel="1"/>
    <row r="209" hidden="1" outlineLevel="1"/>
  </sheetData>
  <mergeCells count="1">
    <mergeCell ref="B8:C8"/>
  </mergeCells>
  <conditionalFormatting sqref="C3:C6">
    <cfRule type="cellIs" dxfId="0" priority="1" operator="greaterThan">
      <formula>0</formula>
    </cfRule>
  </conditionalFormatting>
  <conditionalFormatting sqref="C3:C6">
    <cfRule type="cellIs" dxfId="1" priority="2" operator="lessThan">
      <formula>0</formula>
    </cfRule>
  </conditionalFormatting>
  <conditionalFormatting sqref="C60 C100 C135 C178">
    <cfRule type="cellIs" dxfId="1" priority="3" operator="lessThan">
      <formula>0</formula>
    </cfRule>
  </conditionalFormatting>
  <conditionalFormatting sqref="C60 C100 C135 C178">
    <cfRule type="cellIs" dxfId="0" priority="4" operator="greaterThan">
      <formula>0</formula>
    </cfRule>
  </conditionalFormatting>
  <hyperlinks>
    <hyperlink r:id="rId2" ref="D11"/>
    <hyperlink r:id="rId3" ref="D14"/>
    <hyperlink r:id="rId4" ref="D25"/>
    <hyperlink r:id="rId5" ref="D35"/>
    <hyperlink r:id="rId6" location="s_2" ref="H3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7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96.0"/>
    <col customWidth="1" min="3" max="3" width="23.88"/>
    <col customWidth="1" min="4" max="4" width="25.5"/>
    <col customWidth="1" min="5" max="5" width="35.88"/>
    <col customWidth="1" hidden="1" min="6" max="6" width="31.63"/>
  </cols>
  <sheetData>
    <row r="2" ht="45.0" customHeight="1">
      <c r="B2" s="99" t="s">
        <v>160</v>
      </c>
      <c r="C2" s="100" t="s">
        <v>161</v>
      </c>
      <c r="D2" s="100" t="s">
        <v>162</v>
      </c>
      <c r="E2" s="100" t="s">
        <v>163</v>
      </c>
      <c r="F2" s="101" t="s">
        <v>164</v>
      </c>
    </row>
    <row r="3">
      <c r="B3" s="1"/>
    </row>
    <row r="4">
      <c r="B4" s="2" t="s">
        <v>165</v>
      </c>
    </row>
    <row r="5">
      <c r="B5" s="5" t="s">
        <v>166</v>
      </c>
      <c r="C5" s="102" t="s">
        <v>167</v>
      </c>
      <c r="D5" s="102" t="s">
        <v>168</v>
      </c>
      <c r="E5" s="103" t="s">
        <v>169</v>
      </c>
    </row>
    <row r="6">
      <c r="B6" s="5" t="s">
        <v>170</v>
      </c>
      <c r="C6" s="102" t="s">
        <v>171</v>
      </c>
      <c r="D6" s="102" t="s">
        <v>168</v>
      </c>
      <c r="E6" s="103" t="s">
        <v>169</v>
      </c>
    </row>
    <row r="7">
      <c r="A7" s="74"/>
      <c r="B7" s="104" t="s">
        <v>172</v>
      </c>
      <c r="C7" s="105">
        <f>'NPVs &amp; Pro-Formas'!C3</f>
        <v>-3237342.526</v>
      </c>
      <c r="D7" s="106">
        <f>'NPVs &amp; Pro-Formas'!C4</f>
        <v>64432187.15</v>
      </c>
      <c r="E7" s="106">
        <f>'NPVs &amp; Pro-Formas'!C5</f>
        <v>40720123.78</v>
      </c>
      <c r="F7" s="107" t="str">
        <f>#REF!</f>
        <v>#REF!</v>
      </c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</row>
    <row r="8">
      <c r="A8" s="74"/>
      <c r="B8" s="104" t="s">
        <v>173</v>
      </c>
      <c r="C8" s="108" t="s">
        <v>174</v>
      </c>
      <c r="D8" s="109" t="s">
        <v>175</v>
      </c>
      <c r="E8" s="109" t="s">
        <v>175</v>
      </c>
      <c r="F8" s="110" t="s">
        <v>174</v>
      </c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</row>
    <row r="9">
      <c r="A9" s="74"/>
      <c r="B9" s="85" t="s">
        <v>176</v>
      </c>
      <c r="C9" s="108" t="s">
        <v>174</v>
      </c>
      <c r="D9" s="108" t="s">
        <v>174</v>
      </c>
      <c r="E9" s="109" t="s">
        <v>175</v>
      </c>
      <c r="F9" s="110" t="s">
        <v>174</v>
      </c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</row>
    <row r="10">
      <c r="B10" s="1"/>
    </row>
    <row r="11">
      <c r="B11" s="2" t="s">
        <v>177</v>
      </c>
    </row>
    <row r="12">
      <c r="B12" s="5" t="s">
        <v>178</v>
      </c>
      <c r="C12" s="102" t="s">
        <v>174</v>
      </c>
      <c r="D12" s="103" t="s">
        <v>179</v>
      </c>
      <c r="E12" s="103" t="s">
        <v>180</v>
      </c>
    </row>
    <row r="13">
      <c r="B13" s="5" t="s">
        <v>181</v>
      </c>
      <c r="C13" s="102" t="s">
        <v>174</v>
      </c>
      <c r="D13" s="102" t="s">
        <v>174</v>
      </c>
      <c r="E13" s="103" t="s">
        <v>182</v>
      </c>
    </row>
    <row r="14">
      <c r="B14" s="5" t="s">
        <v>183</v>
      </c>
      <c r="C14" s="102" t="s">
        <v>174</v>
      </c>
      <c r="D14" s="102" t="s">
        <v>174</v>
      </c>
      <c r="E14" s="103" t="s">
        <v>184</v>
      </c>
    </row>
    <row r="15">
      <c r="B15" s="5" t="s">
        <v>185</v>
      </c>
      <c r="C15" s="102" t="s">
        <v>174</v>
      </c>
      <c r="D15" s="103" t="s">
        <v>186</v>
      </c>
      <c r="E15" s="103" t="s">
        <v>187</v>
      </c>
    </row>
    <row r="16">
      <c r="B16" s="5" t="s">
        <v>188</v>
      </c>
      <c r="C16" s="102" t="s">
        <v>189</v>
      </c>
      <c r="D16" s="102" t="s">
        <v>189</v>
      </c>
      <c r="E16" s="103" t="s">
        <v>190</v>
      </c>
    </row>
    <row r="17">
      <c r="B17" s="5" t="s">
        <v>191</v>
      </c>
      <c r="C17" s="103" t="s">
        <v>192</v>
      </c>
      <c r="D17" s="102" t="s">
        <v>193</v>
      </c>
      <c r="E17" s="103" t="s">
        <v>190</v>
      </c>
    </row>
    <row r="18">
      <c r="B18" s="5" t="s">
        <v>194</v>
      </c>
      <c r="C18" s="102" t="s">
        <v>189</v>
      </c>
      <c r="D18" s="102" t="s">
        <v>193</v>
      </c>
      <c r="E18" s="103" t="s">
        <v>190</v>
      </c>
    </row>
    <row r="19">
      <c r="B19" s="5" t="s">
        <v>195</v>
      </c>
      <c r="C19" s="102" t="s">
        <v>174</v>
      </c>
      <c r="D19" s="103" t="s">
        <v>175</v>
      </c>
      <c r="E19" s="103" t="s">
        <v>175</v>
      </c>
    </row>
    <row r="20">
      <c r="B20" s="111" t="s">
        <v>196</v>
      </c>
      <c r="C20" s="102" t="s">
        <v>174</v>
      </c>
      <c r="D20" s="102" t="s">
        <v>174</v>
      </c>
      <c r="E20" s="103" t="s">
        <v>175</v>
      </c>
    </row>
    <row r="21">
      <c r="B21" s="5" t="s">
        <v>197</v>
      </c>
      <c r="C21" s="102" t="s">
        <v>174</v>
      </c>
      <c r="D21" s="102" t="s">
        <v>174</v>
      </c>
      <c r="E21" s="103" t="s">
        <v>175</v>
      </c>
    </row>
    <row r="22">
      <c r="B22" s="5" t="s">
        <v>198</v>
      </c>
      <c r="C22" s="102" t="s">
        <v>174</v>
      </c>
      <c r="D22" s="102" t="s">
        <v>174</v>
      </c>
      <c r="E22" s="103" t="s">
        <v>175</v>
      </c>
    </row>
    <row r="23">
      <c r="B23" s="1"/>
    </row>
    <row r="24">
      <c r="B24" s="2" t="s">
        <v>199</v>
      </c>
    </row>
    <row r="25">
      <c r="B25" s="5" t="s">
        <v>200</v>
      </c>
      <c r="C25" s="102">
        <v>0.0</v>
      </c>
      <c r="D25" s="102">
        <v>0.0</v>
      </c>
      <c r="E25" s="112" t="s">
        <v>201</v>
      </c>
      <c r="F25" s="112" t="s">
        <v>202</v>
      </c>
    </row>
    <row r="26">
      <c r="B26" s="5" t="s">
        <v>203</v>
      </c>
      <c r="C26" s="113">
        <f t="shared" ref="C26:F26" si="1">SUM(C27:C28)</f>
        <v>766</v>
      </c>
      <c r="D26" s="114">
        <f t="shared" si="1"/>
        <v>1804</v>
      </c>
      <c r="E26" s="114">
        <f t="shared" si="1"/>
        <v>1904</v>
      </c>
      <c r="F26" s="113">
        <f t="shared" si="1"/>
        <v>766</v>
      </c>
    </row>
    <row r="27">
      <c r="B27" s="5" t="s">
        <v>204</v>
      </c>
      <c r="C27" s="102">
        <v>766.0</v>
      </c>
      <c r="D27" s="103">
        <v>1804.0</v>
      </c>
      <c r="E27" s="115">
        <f>766+208+510</f>
        <v>1484</v>
      </c>
      <c r="F27" s="102">
        <v>766.0</v>
      </c>
    </row>
    <row r="28">
      <c r="B28" s="5" t="s">
        <v>205</v>
      </c>
      <c r="C28" s="102">
        <v>0.0</v>
      </c>
      <c r="D28" s="102">
        <v>0.0</v>
      </c>
      <c r="E28" s="103">
        <v>420.0</v>
      </c>
      <c r="F28" s="102">
        <v>0.0</v>
      </c>
    </row>
    <row r="29">
      <c r="B29" s="5" t="s">
        <v>206</v>
      </c>
      <c r="C29" s="116">
        <v>7150000.0</v>
      </c>
      <c r="D29" s="116">
        <v>8000000.0</v>
      </c>
      <c r="E29" s="117">
        <f>'NPVs &amp; Pro-Formas'!C175</f>
        <v>3840400</v>
      </c>
    </row>
    <row r="30">
      <c r="B30" s="5" t="s">
        <v>207</v>
      </c>
      <c r="C30" s="102" t="s">
        <v>174</v>
      </c>
      <c r="D30" s="102" t="s">
        <v>208</v>
      </c>
      <c r="E30" s="103" t="s">
        <v>209</v>
      </c>
    </row>
    <row r="31">
      <c r="B31" s="5" t="s">
        <v>210</v>
      </c>
      <c r="C31" s="102" t="s">
        <v>174</v>
      </c>
      <c r="D31" s="103" t="s">
        <v>211</v>
      </c>
      <c r="E31" s="103" t="s">
        <v>212</v>
      </c>
    </row>
    <row r="32">
      <c r="B32" s="5" t="s">
        <v>213</v>
      </c>
      <c r="C32" s="102" t="s">
        <v>174</v>
      </c>
      <c r="D32" s="102" t="s">
        <v>174</v>
      </c>
      <c r="E32" s="103" t="s">
        <v>175</v>
      </c>
    </row>
    <row r="33">
      <c r="B33" s="5" t="s">
        <v>214</v>
      </c>
      <c r="C33" s="118" t="s">
        <v>174</v>
      </c>
      <c r="D33" s="103" t="s">
        <v>215</v>
      </c>
      <c r="E33" s="103" t="s">
        <v>216</v>
      </c>
      <c r="F33" s="118" t="s">
        <v>174</v>
      </c>
    </row>
    <row r="34">
      <c r="B34" s="5" t="s">
        <v>217</v>
      </c>
      <c r="C34" s="118" t="s">
        <v>174</v>
      </c>
      <c r="D34" s="118" t="s">
        <v>174</v>
      </c>
      <c r="E34" s="103" t="s">
        <v>218</v>
      </c>
      <c r="F34" s="118" t="s">
        <v>174</v>
      </c>
    </row>
    <row r="35">
      <c r="B35" s="5" t="s">
        <v>219</v>
      </c>
      <c r="C35" s="118" t="s">
        <v>174</v>
      </c>
      <c r="D35" s="118" t="s">
        <v>174</v>
      </c>
      <c r="E35" s="103" t="s">
        <v>218</v>
      </c>
      <c r="F35" s="118" t="s">
        <v>174</v>
      </c>
    </row>
    <row r="36">
      <c r="B36" s="5" t="s">
        <v>220</v>
      </c>
      <c r="C36" s="102" t="s">
        <v>174</v>
      </c>
      <c r="D36" s="102" t="s">
        <v>174</v>
      </c>
      <c r="E36" s="103" t="s">
        <v>175</v>
      </c>
      <c r="F36" s="102" t="s">
        <v>174</v>
      </c>
    </row>
    <row r="37">
      <c r="B37" s="5" t="s">
        <v>221</v>
      </c>
      <c r="C37" s="102" t="s">
        <v>174</v>
      </c>
      <c r="D37" s="103" t="s">
        <v>175</v>
      </c>
      <c r="E37" s="103" t="s">
        <v>175</v>
      </c>
    </row>
    <row r="38">
      <c r="B38" s="5" t="s">
        <v>222</v>
      </c>
      <c r="C38" s="102" t="s">
        <v>174</v>
      </c>
      <c r="D38" s="103" t="s">
        <v>175</v>
      </c>
      <c r="E38" s="103" t="s">
        <v>175</v>
      </c>
    </row>
    <row r="39">
      <c r="B39" s="5" t="s">
        <v>223</v>
      </c>
      <c r="C39" s="102" t="s">
        <v>174</v>
      </c>
      <c r="D39" s="102" t="s">
        <v>174</v>
      </c>
      <c r="E39" s="103" t="s">
        <v>175</v>
      </c>
    </row>
    <row r="40">
      <c r="B40" s="1"/>
    </row>
    <row r="41">
      <c r="B41" s="2" t="s">
        <v>224</v>
      </c>
    </row>
    <row r="42">
      <c r="B42" s="5" t="s">
        <v>225</v>
      </c>
      <c r="C42" s="102" t="s">
        <v>174</v>
      </c>
      <c r="D42" s="102" t="s">
        <v>208</v>
      </c>
      <c r="E42" s="103" t="s">
        <v>209</v>
      </c>
    </row>
    <row r="43">
      <c r="B43" s="5" t="s">
        <v>226</v>
      </c>
      <c r="C43" s="118" t="s">
        <v>174</v>
      </c>
      <c r="D43" s="118" t="s">
        <v>174</v>
      </c>
      <c r="E43" s="118" t="s">
        <v>175</v>
      </c>
      <c r="F43" s="118" t="s">
        <v>174</v>
      </c>
    </row>
    <row r="44">
      <c r="B44" s="5" t="s">
        <v>227</v>
      </c>
      <c r="C44" s="118" t="s">
        <v>174</v>
      </c>
      <c r="D44" s="118" t="s">
        <v>174</v>
      </c>
      <c r="E44" s="118" t="s">
        <v>175</v>
      </c>
      <c r="F44" s="118"/>
    </row>
    <row r="45">
      <c r="B45" s="5" t="s">
        <v>228</v>
      </c>
      <c r="C45" s="102" t="s">
        <v>174</v>
      </c>
      <c r="D45" s="102" t="s">
        <v>174</v>
      </c>
      <c r="E45" s="103" t="s">
        <v>175</v>
      </c>
    </row>
    <row r="46">
      <c r="B46" s="5" t="s">
        <v>229</v>
      </c>
      <c r="C46" s="102" t="s">
        <v>174</v>
      </c>
      <c r="D46" s="102" t="s">
        <v>174</v>
      </c>
      <c r="E46" s="103" t="s">
        <v>175</v>
      </c>
    </row>
    <row r="47">
      <c r="B47" s="5" t="s">
        <v>230</v>
      </c>
      <c r="C47" s="103" t="s">
        <v>175</v>
      </c>
      <c r="D47" s="103" t="s">
        <v>175</v>
      </c>
      <c r="E47" s="103" t="s">
        <v>175</v>
      </c>
    </row>
    <row r="48">
      <c r="B48" s="5" t="s">
        <v>231</v>
      </c>
      <c r="C48" s="118" t="s">
        <v>174</v>
      </c>
      <c r="D48" s="118" t="s">
        <v>174</v>
      </c>
      <c r="E48" s="118" t="s">
        <v>175</v>
      </c>
      <c r="F48" s="118" t="s">
        <v>174</v>
      </c>
    </row>
    <row r="49">
      <c r="A49" s="74"/>
      <c r="B49" s="119" t="s">
        <v>232</v>
      </c>
      <c r="C49" s="120" t="s">
        <v>174</v>
      </c>
      <c r="D49" s="120" t="s">
        <v>174</v>
      </c>
      <c r="E49" s="121" t="s">
        <v>175</v>
      </c>
      <c r="F49" s="122" t="s">
        <v>174</v>
      </c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</row>
    <row r="50">
      <c r="B50" s="5" t="s">
        <v>233</v>
      </c>
      <c r="C50" s="118" t="s">
        <v>174</v>
      </c>
      <c r="D50" s="118" t="s">
        <v>174</v>
      </c>
      <c r="E50" s="118" t="s">
        <v>175</v>
      </c>
      <c r="F50" s="118" t="s">
        <v>174</v>
      </c>
    </row>
    <row r="51">
      <c r="B51" s="1"/>
    </row>
    <row r="52">
      <c r="A52" s="74"/>
      <c r="B52" s="123" t="s">
        <v>234</v>
      </c>
      <c r="C52" s="74"/>
      <c r="D52" s="74"/>
      <c r="E52" s="74"/>
      <c r="F52" s="12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</row>
    <row r="53">
      <c r="B53" s="5" t="s">
        <v>235</v>
      </c>
      <c r="C53" s="125" t="s">
        <v>174</v>
      </c>
      <c r="D53" s="118" t="s">
        <v>174</v>
      </c>
      <c r="E53" s="109" t="s">
        <v>175</v>
      </c>
      <c r="F53" s="126" t="s">
        <v>174</v>
      </c>
    </row>
    <row r="54">
      <c r="B54" s="5" t="s">
        <v>236</v>
      </c>
      <c r="C54" s="102">
        <v>0.0</v>
      </c>
      <c r="D54" s="102">
        <v>0.0</v>
      </c>
      <c r="E54" s="112" t="s">
        <v>201</v>
      </c>
      <c r="F54" s="112" t="s">
        <v>202</v>
      </c>
    </row>
    <row r="55">
      <c r="A55" s="74"/>
      <c r="B55" s="85" t="s">
        <v>237</v>
      </c>
      <c r="C55" s="127" t="s">
        <v>174</v>
      </c>
      <c r="D55" s="127" t="s">
        <v>174</v>
      </c>
      <c r="E55" s="128" t="s">
        <v>175</v>
      </c>
      <c r="F55" s="129" t="s">
        <v>174</v>
      </c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</row>
    <row r="56">
      <c r="A56" s="74"/>
      <c r="B56" s="119" t="s">
        <v>238</v>
      </c>
      <c r="C56" s="108" t="s">
        <v>174</v>
      </c>
      <c r="D56" s="109" t="s">
        <v>175</v>
      </c>
      <c r="E56" s="109" t="s">
        <v>175</v>
      </c>
      <c r="F56" s="126" t="s">
        <v>174</v>
      </c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</row>
    <row r="57">
      <c r="A57" s="74"/>
      <c r="B57" s="119" t="s">
        <v>239</v>
      </c>
      <c r="C57" s="128" t="s">
        <v>240</v>
      </c>
      <c r="D57" s="128" t="s">
        <v>241</v>
      </c>
      <c r="E57" s="128" t="s">
        <v>242</v>
      </c>
      <c r="F57" s="130" t="s">
        <v>175</v>
      </c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</row>
    <row r="58">
      <c r="A58" s="74"/>
      <c r="B58" s="5" t="s">
        <v>243</v>
      </c>
      <c r="C58" s="125" t="s">
        <v>174</v>
      </c>
      <c r="D58" s="118" t="s">
        <v>174</v>
      </c>
      <c r="E58" s="109" t="s">
        <v>175</v>
      </c>
      <c r="F58" s="126" t="s">
        <v>174</v>
      </c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</row>
    <row r="59">
      <c r="A59" s="74"/>
      <c r="B59" s="119" t="s">
        <v>244</v>
      </c>
      <c r="C59" s="125" t="s">
        <v>174</v>
      </c>
      <c r="D59" s="118" t="s">
        <v>174</v>
      </c>
      <c r="E59" s="109" t="s">
        <v>175</v>
      </c>
      <c r="F59" s="126" t="s">
        <v>174</v>
      </c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</row>
    <row r="60">
      <c r="B60" s="5" t="s">
        <v>245</v>
      </c>
      <c r="C60" s="103" t="s">
        <v>175</v>
      </c>
      <c r="D60" s="103" t="s">
        <v>175</v>
      </c>
      <c r="E60" s="118" t="s">
        <v>174</v>
      </c>
      <c r="F60" s="118" t="s">
        <v>174</v>
      </c>
    </row>
    <row r="61">
      <c r="B61" s="1"/>
    </row>
    <row r="62">
      <c r="B62" s="1"/>
    </row>
    <row r="63">
      <c r="B63" s="1"/>
    </row>
    <row r="64">
      <c r="B64" s="1"/>
    </row>
  </sheetData>
  <conditionalFormatting sqref="C25:C29 D25:F28 C33:C36 D33:F35 C39 C43:F44 C48:F48 C50:F50 D53:D54 C54 E54:F54 D58:D59 E60:F60">
    <cfRule type="cellIs" dxfId="0" priority="1" operator="equal">
      <formula>"Yes"</formula>
    </cfRule>
  </conditionalFormatting>
  <conditionalFormatting sqref="C25:C29 D25:F28 C33:C36 D33:F35 C39 C43:F44 C48:F48 C50:F50 D53:D54 C54 E54:F54 D58:D59 E60:F60">
    <cfRule type="cellIs" dxfId="1" priority="2" operator="equal">
      <formula>"No"</formula>
    </cfRule>
  </conditionalFormatting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0.5"/>
  </cols>
  <sheetData>
    <row r="1">
      <c r="F1" s="5" t="s">
        <v>246</v>
      </c>
      <c r="G1" s="131">
        <v>1.9834710990151</v>
      </c>
      <c r="H1" s="5" t="s">
        <v>247</v>
      </c>
    </row>
    <row r="2">
      <c r="B2" s="1" t="s">
        <v>248</v>
      </c>
    </row>
    <row r="3">
      <c r="F3" s="1" t="s">
        <v>249</v>
      </c>
      <c r="G3" s="1" t="s">
        <v>250</v>
      </c>
      <c r="I3" s="1" t="s">
        <v>251</v>
      </c>
      <c r="K3" s="1" t="s">
        <v>252</v>
      </c>
      <c r="L3" s="132" t="s">
        <v>253</v>
      </c>
    </row>
    <row r="4">
      <c r="B4" s="5" t="s">
        <v>254</v>
      </c>
      <c r="E4" s="5">
        <v>6.4</v>
      </c>
      <c r="F4" s="5" t="s">
        <v>255</v>
      </c>
      <c r="G4" s="72">
        <f t="shared" ref="G4:G6" si="1">180</f>
        <v>180</v>
      </c>
      <c r="I4" s="133">
        <f t="shared" ref="I4:I6" si="2">E4*$G$1*G4</f>
        <v>2284.958706</v>
      </c>
      <c r="K4" s="98">
        <v>1000.0</v>
      </c>
      <c r="L4" s="60">
        <f t="shared" ref="L4:L13" si="3">I4*K4</f>
        <v>2284958.706</v>
      </c>
    </row>
    <row r="5">
      <c r="B5" s="5" t="s">
        <v>256</v>
      </c>
      <c r="E5" s="5">
        <v>1.0</v>
      </c>
      <c r="F5" s="5" t="s">
        <v>255</v>
      </c>
      <c r="G5" s="72">
        <f t="shared" si="1"/>
        <v>180</v>
      </c>
      <c r="I5" s="133">
        <f t="shared" si="2"/>
        <v>357.0247978</v>
      </c>
      <c r="K5" s="98">
        <v>1000.0</v>
      </c>
      <c r="L5" s="60">
        <f t="shared" si="3"/>
        <v>357024.7978</v>
      </c>
    </row>
    <row r="6">
      <c r="B6" s="5" t="s">
        <v>257</v>
      </c>
      <c r="E6" s="5">
        <v>1.5</v>
      </c>
      <c r="F6" s="5" t="s">
        <v>255</v>
      </c>
      <c r="G6" s="72">
        <f t="shared" si="1"/>
        <v>180</v>
      </c>
      <c r="I6" s="133">
        <f t="shared" si="2"/>
        <v>535.5371967</v>
      </c>
      <c r="K6" s="98">
        <v>1000.0</v>
      </c>
      <c r="L6" s="60">
        <f t="shared" si="3"/>
        <v>535537.1967</v>
      </c>
    </row>
    <row r="7">
      <c r="B7" s="5" t="s">
        <v>258</v>
      </c>
      <c r="C7" s="5" t="s">
        <v>259</v>
      </c>
      <c r="E7" s="5">
        <v>36.0</v>
      </c>
      <c r="F7" s="5" t="s">
        <v>260</v>
      </c>
      <c r="G7" s="5">
        <v>365.0</v>
      </c>
      <c r="I7" s="133"/>
      <c r="K7" s="98">
        <v>0.0</v>
      </c>
      <c r="L7" s="60">
        <f t="shared" si="3"/>
        <v>0</v>
      </c>
    </row>
    <row r="8">
      <c r="B8" s="5" t="s">
        <v>261</v>
      </c>
      <c r="E8" s="5">
        <v>20.0</v>
      </c>
      <c r="F8" s="5" t="s">
        <v>260</v>
      </c>
      <c r="G8" s="5">
        <v>365.0</v>
      </c>
      <c r="I8" s="133"/>
      <c r="K8" s="98">
        <v>0.0</v>
      </c>
      <c r="L8" s="60">
        <f t="shared" si="3"/>
        <v>0</v>
      </c>
    </row>
    <row r="9">
      <c r="B9" s="5" t="s">
        <v>262</v>
      </c>
      <c r="E9" s="134">
        <v>4.0</v>
      </c>
      <c r="F9" s="5" t="s">
        <v>255</v>
      </c>
      <c r="G9" s="5">
        <v>180.0</v>
      </c>
      <c r="I9" s="133">
        <f t="shared" ref="I9:I11" si="4">E9*$G$1*G9</f>
        <v>1428.099191</v>
      </c>
      <c r="K9" s="98">
        <v>1000.0</v>
      </c>
      <c r="L9" s="60">
        <f t="shared" si="3"/>
        <v>1428099.191</v>
      </c>
    </row>
    <row r="10">
      <c r="B10" s="5" t="s">
        <v>263</v>
      </c>
      <c r="E10" s="5">
        <v>1.675</v>
      </c>
      <c r="F10" s="5" t="s">
        <v>255</v>
      </c>
      <c r="G10" s="5">
        <v>180.0</v>
      </c>
      <c r="I10" s="133">
        <f t="shared" si="4"/>
        <v>598.0165364</v>
      </c>
      <c r="K10" s="98">
        <v>1000.0</v>
      </c>
      <c r="L10" s="60">
        <f t="shared" si="3"/>
        <v>598016.5364</v>
      </c>
    </row>
    <row r="11">
      <c r="B11" s="5" t="s">
        <v>264</v>
      </c>
      <c r="E11" s="5">
        <v>14.32</v>
      </c>
      <c r="F11" s="5" t="s">
        <v>255</v>
      </c>
      <c r="G11" s="5">
        <v>180.0</v>
      </c>
      <c r="I11" s="133">
        <f t="shared" si="4"/>
        <v>5112.595105</v>
      </c>
      <c r="K11" s="98">
        <v>1000.0</v>
      </c>
      <c r="L11" s="60">
        <f t="shared" si="3"/>
        <v>5112595.105</v>
      </c>
    </row>
    <row r="12">
      <c r="B12" s="5" t="s">
        <v>265</v>
      </c>
      <c r="E12" s="5">
        <v>55.0</v>
      </c>
      <c r="F12" s="5" t="s">
        <v>260</v>
      </c>
      <c r="G12" s="135">
        <v>1.0</v>
      </c>
      <c r="I12" s="133">
        <f>E12*G12</f>
        <v>55</v>
      </c>
      <c r="K12" s="98">
        <v>75000.0</v>
      </c>
      <c r="L12" s="60">
        <f t="shared" si="3"/>
        <v>4125000</v>
      </c>
    </row>
    <row r="13">
      <c r="B13" s="5" t="s">
        <v>266</v>
      </c>
      <c r="E13" s="5">
        <v>150000.0</v>
      </c>
      <c r="F13" s="5" t="s">
        <v>267</v>
      </c>
      <c r="G13" s="135">
        <v>1.0</v>
      </c>
      <c r="I13" s="133">
        <f>0.55*365</f>
        <v>200.75</v>
      </c>
      <c r="K13" s="98">
        <v>10000.0</v>
      </c>
      <c r="L13" s="60">
        <f t="shared" si="3"/>
        <v>2007500</v>
      </c>
    </row>
    <row r="14">
      <c r="I14" s="133"/>
    </row>
    <row r="15">
      <c r="B15" s="1" t="s">
        <v>268</v>
      </c>
      <c r="C15" s="71"/>
      <c r="D15" s="71"/>
      <c r="E15" s="71"/>
      <c r="F15" s="71"/>
      <c r="G15" s="71"/>
      <c r="H15" s="71"/>
      <c r="I15" s="136">
        <f>SUM(I4:I13)</f>
        <v>10571.98153</v>
      </c>
      <c r="J15" s="71"/>
      <c r="K15" s="64">
        <f>L15/I15</f>
        <v>1555.879707</v>
      </c>
      <c r="L15" s="64">
        <f>SUM(L4:L13)</f>
        <v>16448731.53</v>
      </c>
    </row>
    <row r="17">
      <c r="C17" s="59"/>
      <c r="I17" s="60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